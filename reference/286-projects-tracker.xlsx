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010" tabRatio="500"/>
  </bookViews>
  <sheets>
    <sheet name="Tracker" sheetId="1" r:id="rId1"/>
    <sheet name="Summary" sheetId="2" r:id="rId2"/>
    <sheet name="Cert Study Plan" sheetId="3" r:id="rId3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9" i="2" l="1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B6" i="2"/>
  <c r="B7" i="2" s="1"/>
  <c r="B5" i="2"/>
  <c r="B4" i="2"/>
  <c r="B3" i="2"/>
  <c r="D40" i="2" l="1"/>
  <c r="D34" i="2"/>
  <c r="D45" i="2"/>
  <c r="D44" i="2"/>
  <c r="D46" i="2"/>
  <c r="D29" i="2"/>
  <c r="D35" i="2"/>
  <c r="D41" i="2"/>
  <c r="D47" i="2"/>
  <c r="D27" i="2"/>
  <c r="D16" i="2"/>
  <c r="D22" i="2"/>
  <c r="D28" i="2"/>
  <c r="D32" i="2"/>
  <c r="D17" i="2"/>
  <c r="D26" i="2"/>
  <c r="D23" i="2"/>
  <c r="D33" i="2"/>
  <c r="D15" i="2"/>
  <c r="D21" i="2"/>
  <c r="D39" i="2"/>
  <c r="D38" i="2"/>
  <c r="D12" i="2"/>
  <c r="D18" i="2"/>
  <c r="D24" i="2"/>
  <c r="D30" i="2"/>
  <c r="D36" i="2"/>
  <c r="D42" i="2"/>
  <c r="D48" i="2"/>
  <c r="D14" i="2"/>
  <c r="D20" i="2"/>
  <c r="D11" i="2"/>
  <c r="D13" i="2"/>
  <c r="D19" i="2"/>
  <c r="D25" i="2"/>
  <c r="D31" i="2"/>
  <c r="D37" i="2"/>
  <c r="D43" i="2"/>
  <c r="D49" i="2"/>
</calcChain>
</file>

<file path=xl/sharedStrings.xml><?xml version="1.0" encoding="utf-8"?>
<sst xmlns="http://schemas.openxmlformats.org/spreadsheetml/2006/main" count="1118" uniqueCount="595">
  <si>
    <t>Build #</t>
  </si>
  <si>
    <t>Category</t>
  </si>
  <si>
    <t>Technology</t>
  </si>
  <si>
    <t>Project Description</t>
  </si>
  <si>
    <t>Status</t>
  </si>
  <si>
    <t>Date Pushed</t>
  </si>
  <si>
    <t>Codex Resume ID</t>
  </si>
  <si>
    <t>GitHub Link</t>
  </si>
  <si>
    <t>Notes</t>
  </si>
  <si>
    <t>Languages</t>
  </si>
  <si>
    <t>Python (Core)</t>
  </si>
  <si>
    <t>CLI expense tracker — add expenses by category, monthly summary, saves to JSON</t>
  </si>
  <si>
    <t>Not Started</t>
  </si>
  <si>
    <t>Python (async)</t>
  </si>
  <si>
    <t>Async news aggregator — fetch headlines from 5 APIs simultaneously, display ranked by recency</t>
  </si>
  <si>
    <t>Python (data)</t>
  </si>
  <si>
    <t>Sales dashboard — load a CSV, pandas analysis, matplotlib charts for trends and top products</t>
  </si>
  <si>
    <t>Python (automation)</t>
  </si>
  <si>
    <t>Folder organizer — watches a downloads folder, auto sorts files by type into subfolders</t>
  </si>
  <si>
    <t>Python (networking)</t>
  </si>
  <si>
    <t>Chat server — TCP socket server + client, multiple users, broadcast messages</t>
  </si>
  <si>
    <t>Python (ML)</t>
  </si>
  <si>
    <t>House price predictor — scikit-learn regression on public housing dataset, CLI predictions</t>
  </si>
  <si>
    <t>Python (CLI tools)</t>
  </si>
  <si>
    <t>Dev toolkit — click CLI with commands for UUID gen, password gen, base64 encode/decode, timestamp convert</t>
  </si>
  <si>
    <t>Python (testing)</t>
  </si>
  <si>
    <t>Tested calculator library — full pytest suite, edge cases, mocking, coverage report</t>
  </si>
  <si>
    <t>Vanilla JS</t>
  </si>
  <si>
    <t>Kanban board — drag and drop cards between columns, saves to localStorage</t>
  </si>
  <si>
    <t>TypeScript</t>
  </si>
  <si>
    <t>Typed task manager — full CRUD, interfaces for all data shapes, generic utility functions</t>
  </si>
  <si>
    <t>ES Modules</t>
  </si>
  <si>
    <t>Music player — modular JS, separate files for player logic, playlist, UI, no bundler</t>
  </si>
  <si>
    <t>JS async</t>
  </si>
  <si>
    <t>GitHub profile viewer — fetch user + repos + activity from GitHub API, display with loading states</t>
  </si>
  <si>
    <t>JS testing</t>
  </si>
  <si>
    <t>Tested string utility library — Jest suite for 20 string manipulation functions</t>
  </si>
  <si>
    <t>PHP</t>
  </si>
  <si>
    <t>Contact form backend — receives form data, validates, sends email, stores to MySQL</t>
  </si>
  <si>
    <t>Go</t>
  </si>
  <si>
    <t>URL shortener API — create short links, redirect, track click counts, PostgreSQL storage</t>
  </si>
  <si>
    <t>Rust</t>
  </si>
  <si>
    <t>File duplicate finder — CLI tool, walks directory tree, finds duplicate files by hash</t>
  </si>
  <si>
    <t>Ruby</t>
  </si>
  <si>
    <t>Log file analyzer — reads server logs, outputs request counts, error rates, top endpoints</t>
  </si>
  <si>
    <t>Java</t>
  </si>
  <si>
    <t>Library catalog — OOP design, Book and Member classes, checkout system, file persistence</t>
  </si>
  <si>
    <t>C#</t>
  </si>
  <si>
    <t>Budget tracker console app — .NET, categories, monthly reports, CSV export</t>
  </si>
  <si>
    <t>Swift</t>
  </si>
  <si>
    <t>Habit tracker iOS app — SwiftUI, add habits, mark daily completion, streak counter</t>
  </si>
  <si>
    <t>Kotlin</t>
  </si>
  <si>
    <t>Note taking Android app — Jetpack Compose, create/edit/delete notes, local storage</t>
  </si>
  <si>
    <t>Lua</t>
  </si>
  <si>
    <t>Hammerspoon automation — Mac window manager script, hotkeys, app launcher</t>
  </si>
  <si>
    <t>Bash</t>
  </si>
  <si>
    <t>Server setup script — installs dependencies, configures environment, sets up cron jobs</t>
  </si>
  <si>
    <t>SQL</t>
  </si>
  <si>
    <t>Analytics query library — 20 complex queries across joins, CTEs, window functions, subqueries</t>
  </si>
  <si>
    <t>Frontend - React</t>
  </si>
  <si>
    <t>React core</t>
  </si>
  <si>
    <t>Recipe finder — search recipes by ingredient, save favorites, dietary filters</t>
  </si>
  <si>
    <t>React Router</t>
  </si>
  <si>
    <t>Multi-page portfolio site — home, projects, blog, contact pages with client routing</t>
  </si>
  <si>
    <t>Redux / Zustand</t>
  </si>
  <si>
    <t>Shopping cart — product catalog, add to cart, quantity updates, checkout flow with global state</t>
  </si>
  <si>
    <t>React Query / TanStack</t>
  </si>
  <si>
    <t>GitHub dashboard — cached API calls, background refetch, loading/error states, pagination</t>
  </si>
  <si>
    <t>Next.js</t>
  </si>
  <si>
    <t>Blog platform — SSG for posts, SSR for dynamic pages, API routes for comments</t>
  </si>
  <si>
    <t>Remix</t>
  </si>
  <si>
    <t>Full stack todo app — server side rendering, optimistic UI, nested routes, form actions</t>
  </si>
  <si>
    <t>React Native</t>
  </si>
  <si>
    <t>Expense tracker mobile app — add expenses, categories, monthly chart, local storage</t>
  </si>
  <si>
    <t>Frontend - Angular</t>
  </si>
  <si>
    <t>Angular core</t>
  </si>
  <si>
    <t>Course syllabus viewer — display structured syllabus from JSON, clean formatted layout</t>
  </si>
  <si>
    <t>Angular Router</t>
  </si>
  <si>
    <t>Multi-section admin panel — lazy loaded modules, route guards, breadcrumb navigation</t>
  </si>
  <si>
    <t>RxJS</t>
  </si>
  <si>
    <t>Real time search — debounced input, switchMap to API, loading indicator, error handling</t>
  </si>
  <si>
    <t>Angular Material</t>
  </si>
  <si>
    <t>Dashboard UI — cards, tables, charts, forms using Material component library</t>
  </si>
  <si>
    <t>NgRx</t>
  </si>
  <si>
    <t>E-commerce store — product catalog, cart, checkout with full Redux pattern state management</t>
  </si>
  <si>
    <t>Ionic + Angular</t>
  </si>
  <si>
    <t>Fitness tracker hybrid app — log workouts, view history, works on iOS and Android</t>
  </si>
  <si>
    <t>Frontend - Vue</t>
  </si>
  <si>
    <t>Vue 3 core</t>
  </si>
  <si>
    <t>Movie watchlist — search movies via API, add to watchlist, mark watched, filter by genre</t>
  </si>
  <si>
    <t>Vue Router</t>
  </si>
  <si>
    <t>Multi-page travel blog — destinations, posts, photo galleries, smooth page transitions</t>
  </si>
  <si>
    <t>Pinia</t>
  </si>
  <si>
    <t>Task manager — global state for tasks, projects, filters, undo/redo history</t>
  </si>
  <si>
    <t>Nuxt.js</t>
  </si>
  <si>
    <t>SEO-optimized recipe site — SSR, meta tags, structured data, fast page loads</t>
  </si>
  <si>
    <t>Frontend - Other</t>
  </si>
  <si>
    <t>Svelte</t>
  </si>
  <si>
    <t>Live word counter — reactive character/word/sentence count as you type, export as text file</t>
  </si>
  <si>
    <t>SvelteKit</t>
  </si>
  <si>
    <t>Full stack notes app — create/edit/delete notes, tags, server side data loading</t>
  </si>
  <si>
    <t>Solid.js</t>
  </si>
  <si>
    <t>Real time clock dashboard — multiple timezones, fine grained updates, no unnecessary re-renders</t>
  </si>
  <si>
    <t>Astro</t>
  </si>
  <si>
    <t>Documentation site — static pages, MDX content, search, dark mode, fast load times</t>
  </si>
  <si>
    <t>HTMX</t>
  </si>
  <si>
    <t>Contact manager — add/edit/delete contacts with zero JS framework, server renders HTML fragments</t>
  </si>
  <si>
    <t>Alpine.js</t>
  </si>
  <si>
    <t>Interactive FAQ page — accordion, tabs, modal, dropdown all with minimal JavaScript</t>
  </si>
  <si>
    <t>Lit</t>
  </si>
  <si>
    <t>Reusable web component — a custom date-picker component that works in any framework</t>
  </si>
  <si>
    <t>Qwik</t>
  </si>
  <si>
    <t>E-commerce product page — instant load, resumable state, no hydration delay</t>
  </si>
  <si>
    <t>CSS &amp; Styling</t>
  </si>
  <si>
    <t>Pure CSS</t>
  </si>
  <si>
    <t>Responsive landing page — flexbox layout, CSS grid, animations, no JavaScript</t>
  </si>
  <si>
    <t>Sass/SCSS</t>
  </si>
  <si>
    <t>Design system — variables, mixins, nested components, compiled to clean CSS</t>
  </si>
  <si>
    <t>Tailwind CSS</t>
  </si>
  <si>
    <t>Admin dashboard — utility classes, responsive, dark mode, clean without writing CSS</t>
  </si>
  <si>
    <t>CSS Modules</t>
  </si>
  <si>
    <t>React component library — 5 reusable components with scoped styles, no class conflicts</t>
  </si>
  <si>
    <t>Styled Components</t>
  </si>
  <si>
    <t>Theme-able UI kit — light/dark theme, CSS in JS, dynamic styles based on props</t>
  </si>
  <si>
    <t>Framer Motion</t>
  </si>
  <si>
    <t>Animated portfolio — page transitions, scroll animations, interactive hover effects</t>
  </si>
  <si>
    <t>Three.js</t>
  </si>
  <si>
    <t>Interactive 3D product viewer — rotate a 3D model in the browser, texture mapping</t>
  </si>
  <si>
    <t>D3.js</t>
  </si>
  <si>
    <t>COVID data visualization — interactive line charts, bar charts, map with tooltips</t>
  </si>
  <si>
    <t>Backend - Node.js</t>
  </si>
  <si>
    <t>Express</t>
  </si>
  <si>
    <t>REST API for a blog — CRUD for posts and comments, auth middleware, rate limiting</t>
  </si>
  <si>
    <t>Fastify</t>
  </si>
  <si>
    <t>High performance product catalog API — schema validation, serialization, benchmark vs Express</t>
  </si>
  <si>
    <t>NestJS</t>
  </si>
  <si>
    <t>E-commerce API — modules, controllers, services, guards, interceptors, full DI pattern</t>
  </si>
  <si>
    <t>Hono</t>
  </si>
  <si>
    <t>Edge-deployed URL shortener — runs on Cloudflare Workers, fast redirects globally</t>
  </si>
  <si>
    <t>Backend - Python</t>
  </si>
  <si>
    <t>FastAPI</t>
  </si>
  <si>
    <t>Task management API — full CRUD, auth, file uploads, background tasks, OpenAPI docs</t>
  </si>
  <si>
    <t>Django</t>
  </si>
  <si>
    <t>Full CMS — models, admin panel, user auth, blog posts, categories, comments</t>
  </si>
  <si>
    <t>Flask</t>
  </si>
  <si>
    <t>Minimal URL shortener — routes, templates, SQLite, under 100 lines of code</t>
  </si>
  <si>
    <t>Starlette</t>
  </si>
  <si>
    <t>WebSocket chat server — async, rooms, broadcast, connection management</t>
  </si>
  <si>
    <t>Backend - PHP</t>
  </si>
  <si>
    <t>Laravel</t>
  </si>
  <si>
    <t>Blog platform — Eloquent ORM, Blade templates, auth, admin panel, REST API</t>
  </si>
  <si>
    <t>Symfony</t>
  </si>
  <si>
    <t>Inventory management API — Doctrine ORM, serializer, validation, full CRUD</t>
  </si>
  <si>
    <t>Slim</t>
  </si>
  <si>
    <t>Minimal JSON API — 5 endpoints, middleware, PSR-7 request/response</t>
  </si>
  <si>
    <t>Backend - Other</t>
  </si>
  <si>
    <t>Go + Gin</t>
  </si>
  <si>
    <t>Authentication service — JWT tokens, refresh tokens, PostgreSQL user storage</t>
  </si>
  <si>
    <t>Go + Fiber</t>
  </si>
  <si>
    <t>Real time leaderboard — WebSocket updates, Redis sorted sets, live rankings</t>
  </si>
  <si>
    <t>Ruby on Rails</t>
  </si>
  <si>
    <t>Job board — listings, applications, user accounts, email notifications</t>
  </si>
  <si>
    <t>Spring Boot</t>
  </si>
  <si>
    <t>Employee directory API — JPA, H2 database, full CRUD, pagination, sorting</t>
  </si>
  <si>
    <t>ASP.NET Core</t>
  </si>
  <si>
    <t>Inventory tracker API — C#, Entity Framework, SQL Server, REST endpoints</t>
  </si>
  <si>
    <t>Actix (Rust)</t>
  </si>
  <si>
    <t>Fastest possible JSON API — benchmark it, show response times, minimal endpoints</t>
  </si>
  <si>
    <t>Elixir + Phoenix</t>
  </si>
  <si>
    <t>Real time collaborative whiteboard — Phoenix channels, live updates, no polling</t>
  </si>
  <si>
    <t>Databases - Relational</t>
  </si>
  <si>
    <t>PostgreSQL</t>
  </si>
  <si>
    <t>E-commerce database — complex schema, indexes, full text search, query optimization</t>
  </si>
  <si>
    <t>MySQL</t>
  </si>
  <si>
    <t>School management system — students, courses, grades, stored procedures, triggers</t>
  </si>
  <si>
    <t>SQLite</t>
  </si>
  <si>
    <t>Local-first notes app — embedded DB, no server required, full CRUD, file based</t>
  </si>
  <si>
    <t>SQL Server</t>
  </si>
  <si>
    <t>HR database — employees, departments, payroll, reporting queries, views</t>
  </si>
  <si>
    <t>PlanetScale</t>
  </si>
  <si>
    <t>Serverless blog database — schema migrations, branching workflow, connection pooling</t>
  </si>
  <si>
    <t>Databases - NoSQL</t>
  </si>
  <si>
    <t>MongoDB</t>
  </si>
  <si>
    <t>Product catalog — documents with nested specs, aggregation pipeline for analytics</t>
  </si>
  <si>
    <t>Redis</t>
  </si>
  <si>
    <t>Session management system — store sessions, pub/sub for notifications, cache layer</t>
  </si>
  <si>
    <t>Cassandra</t>
  </si>
  <si>
    <t>Time series event logger — write heavy, partition by date, read recent events fast</t>
  </si>
  <si>
    <t>DynamoDB</t>
  </si>
  <si>
    <t>Serverless bookmark manager — single table design, GSI, on-demand scaling</t>
  </si>
  <si>
    <t>Firestore</t>
  </si>
  <si>
    <t>Real time collaborative shopping list — live updates, offline support, multi-user sync</t>
  </si>
  <si>
    <t>CouchDB</t>
  </si>
  <si>
    <t>Offline-first expense tracker — sync when connected, works without internet</t>
  </si>
  <si>
    <t>Databases - Vector/Search</t>
  </si>
  <si>
    <t>Pinecone</t>
  </si>
  <si>
    <t>Document Q&amp;A — embed documents, semantic search, retrieve relevant chunks for AI answers</t>
  </si>
  <si>
    <t>Weaviate</t>
  </si>
  <si>
    <t>Recipe search engine — semantic search by description, not just keywords</t>
  </si>
  <si>
    <t>Qdrant</t>
  </si>
  <si>
    <t>Code snippet search — find similar code by meaning, not exact text match</t>
  </si>
  <si>
    <t>Elasticsearch</t>
  </si>
  <si>
    <t>Log search platform — ingest logs, full text search, aggregations, Kibana-style queries</t>
  </si>
  <si>
    <t>Meilisearch</t>
  </si>
  <si>
    <t>Instant product search — typo tolerance, filters, facets, sub-10ms responses</t>
  </si>
  <si>
    <t>Databases - Graph</t>
  </si>
  <si>
    <t>Neo4j</t>
  </si>
  <si>
    <t>Social network graph — users, follows, mutual connections, shortest path between users</t>
  </si>
  <si>
    <t>Dgraph</t>
  </si>
  <si>
    <t>Knowledge graph — entities and relationships, GraphQL queries, complex traversals</t>
  </si>
  <si>
    <t>Databases - Time Series</t>
  </si>
  <si>
    <t>InfluxDB</t>
  </si>
  <si>
    <t>Home sensor dashboard — ingest temperature/humidity data, visualize trends over time</t>
  </si>
  <si>
    <t>TimescaleDB</t>
  </si>
  <si>
    <t>Stock price tracker — store tick data, continuous aggregates, fast historical queries</t>
  </si>
  <si>
    <t>AI &amp; ML - LLM/Agents</t>
  </si>
  <si>
    <t>LangChain</t>
  </si>
  <si>
    <t>PDF research assistant — upload any PDF, ask questions, get cited answers</t>
  </si>
  <si>
    <t>LlamaIndex</t>
  </si>
  <si>
    <t>Personal knowledge base — index your notes, query across all of them semantically</t>
  </si>
  <si>
    <t>AutoGen</t>
  </si>
  <si>
    <t>Debate simulator — two AI agents argue opposing positions, judge declares winner</t>
  </si>
  <si>
    <t>CrewAI</t>
  </si>
  <si>
    <t>Content creation crew — researcher, writer, editor agents collaborate to produce an article</t>
  </si>
  <si>
    <t>Semantic Kernel</t>
  </si>
  <si>
    <t>AI-powered calendar assistant — natural language to schedule events, find conflicts</t>
  </si>
  <si>
    <t>Haystack</t>
  </si>
  <si>
    <t>News summarization pipeline — ingest articles, chunk, embed, retrieve, summarize</t>
  </si>
  <si>
    <t>DSPy</t>
  </si>
  <si>
    <t>Optimized fact checker — programmatically optimize prompts for accuracy on a benchmark</t>
  </si>
  <si>
    <t>Instructor</t>
  </si>
  <si>
    <t>Structured data extractor — paste any text, get back typed JSON with guaranteed schema</t>
  </si>
  <si>
    <t>AI &amp; ML - Deep Learning</t>
  </si>
  <si>
    <t>scikit-learn</t>
  </si>
  <si>
    <t>Spam classifier — train on email dataset, evaluate accuracy, deploy as API</t>
  </si>
  <si>
    <t>TensorFlow</t>
  </si>
  <si>
    <t>Handwritten digit recognizer — MNIST dataset, Keras CNN, web interface to draw and predict</t>
  </si>
  <si>
    <t>PyTorch</t>
  </si>
  <si>
    <t>Sentiment analyzer — train LSTM on movie reviews, positive/negative classification</t>
  </si>
  <si>
    <t>Hugging Face</t>
  </si>
  <si>
    <t>Multi-language translator — load pretrained model, translate between 10 languages via UI</t>
  </si>
  <si>
    <t>spaCy</t>
  </si>
  <si>
    <t>Resume parser — extract name, skills, education, experience from any resume text</t>
  </si>
  <si>
    <t>OpenCV</t>
  </si>
  <si>
    <t>Face detection app — webcam feed, detect and highlight faces in real time</t>
  </si>
  <si>
    <t>Whisper</t>
  </si>
  <si>
    <t>Meeting transcriber — upload audio, get timestamped transcript, summarize key points</t>
  </si>
  <si>
    <t>YOLO</t>
  </si>
  <si>
    <t>Object counter — video feed, count specific objects in frame, log counts over time</t>
  </si>
  <si>
    <t>AI &amp; ML - Infrastructure</t>
  </si>
  <si>
    <t>Ollama</t>
  </si>
  <si>
    <t>Local AI assistant — run Llama locally, chat interface, no API costs</t>
  </si>
  <si>
    <t>vLLM</t>
  </si>
  <si>
    <t>High throughput inference server — benchmark requests per second vs standard serving</t>
  </si>
  <si>
    <t>LiteLLM</t>
  </si>
  <si>
    <t>Universal AI proxy — one API that routes to Claude, GPT, Gemini, Ollama interchangeably</t>
  </si>
  <si>
    <t>Weights &amp; Biases</t>
  </si>
  <si>
    <t>ML experiment tracker — log training runs, compare models, visualize metrics</t>
  </si>
  <si>
    <t>MLflow</t>
  </si>
  <si>
    <t>Model registry — track experiments, version models, serve best performing model</t>
  </si>
  <si>
    <t>APIs - Communication</t>
  </si>
  <si>
    <t>Twilio</t>
  </si>
  <si>
    <t>Appointment reminder system — send SMS 24hr before appointments, confirm replies</t>
  </si>
  <si>
    <t>SendGrid</t>
  </si>
  <si>
    <t>Transactional email service — welcome emails, password resets, beautiful HTML templates</t>
  </si>
  <si>
    <t>Resend</t>
  </si>
  <si>
    <t>Email notification system — React Email templates, delivery tracking, open rates</t>
  </si>
  <si>
    <t>Slack API</t>
  </si>
  <si>
    <t>Daily standup bot — asks team for updates each morning, posts summary to channel</t>
  </si>
  <si>
    <t>Discord API</t>
  </si>
  <si>
    <t>Server moderation bot — auto-delete spam, role assignment, welcome messages, logging</t>
  </si>
  <si>
    <t>Telegram Bot</t>
  </si>
  <si>
    <t>Personal task bot — send tasks to Telegram, get reminders, mark complete via reply</t>
  </si>
  <si>
    <t>APIs - Payments</t>
  </si>
  <si>
    <t>Stripe</t>
  </si>
  <si>
    <t>SaaS subscription billing — free trial, monthly plans, upgrade/downgrade, webhook handling</t>
  </si>
  <si>
    <t>PayPal API</t>
  </si>
  <si>
    <t>Donation button — one-time donations, confirmation emails, donor log</t>
  </si>
  <si>
    <t>Plaid</t>
  </si>
  <si>
    <t>Personal finance dashboard — connect bank account, categorize transactions, spending charts</t>
  </si>
  <si>
    <t>APIs - Data/Business</t>
  </si>
  <si>
    <t>HubSpot API</t>
  </si>
  <si>
    <t>Lead capture pipeline — form to HubSpot contact, score, assign to rep, notify</t>
  </si>
  <si>
    <t>Salesforce API</t>
  </si>
  <si>
    <t>Deal tracker — sync opportunities, update stages, generate pipeline report</t>
  </si>
  <si>
    <t>Airtable API</t>
  </si>
  <si>
    <t>Content calendar — manage posts, sync status updates, auto-generate weekly schedule</t>
  </si>
  <si>
    <t>Notion API</t>
  </si>
  <si>
    <t>Project tracker — sync tasks from Notion, update status, generate progress reports</t>
  </si>
  <si>
    <t>Google Sheets API</t>
  </si>
  <si>
    <t>Inventory sync — read orders from Sheets, update stock levels, flag low inventory</t>
  </si>
  <si>
    <t>QuickBooks API</t>
  </si>
  <si>
    <t>Invoice generator — create invoices from order data, track payment status</t>
  </si>
  <si>
    <t>APIs - Media/Content</t>
  </si>
  <si>
    <t>Cloudinary</t>
  </si>
  <si>
    <t>Image optimization pipeline — upload, auto-resize, compress, serve via CDN</t>
  </si>
  <si>
    <t>AWS S3</t>
  </si>
  <si>
    <t>File sharing app — upload files, generate shareable links, set expiry times</t>
  </si>
  <si>
    <t>YouTube Data API</t>
  </si>
  <si>
    <t>Channel analytics dashboard — views, subscribers, top videos, growth trends</t>
  </si>
  <si>
    <t>Spotify API</t>
  </si>
  <si>
    <t>Listening history analyzer — top artists, genres, listening patterns by time of day</t>
  </si>
  <si>
    <t>OpenAI API</t>
  </si>
  <si>
    <t>AI writing assistant — autocomplete, rephrase, summarize, tone adjustment</t>
  </si>
  <si>
    <t>Anthropic API</t>
  </si>
  <si>
    <t>Document analyzer — upload any document, extract insights, answer questions</t>
  </si>
  <si>
    <t>Google Generative AI</t>
  </si>
  <si>
    <t>Multi-modal analyzer — upload image + text, get combined analysis</t>
  </si>
  <si>
    <t>Replicate</t>
  </si>
  <si>
    <t>Image generation app — text to image, style transfer, face swap via open source models</t>
  </si>
  <si>
    <t>APIs - Maps/Location</t>
  </si>
  <si>
    <t>Google Maps API</t>
  </si>
  <si>
    <t>Store locator — find nearest locations, directions, hours, ratings on a map</t>
  </si>
  <si>
    <t>Mapbox</t>
  </si>
  <si>
    <t>Custom styled map — data visualization overlay, clickable markers, filtered layers</t>
  </si>
  <si>
    <t>OpenStreetMap + Leaflet</t>
  </si>
  <si>
    <t>Hiking trail map — display trails, elevation data, difficulty ratings, user reviews</t>
  </si>
  <si>
    <t>Cloud - Google Cloud</t>
  </si>
  <si>
    <t>Vertex AI</t>
  </si>
  <si>
    <t>Custom AI model deployment — fine-tune a model, deploy endpoint, query via API</t>
  </si>
  <si>
    <t>Cloud Run</t>
  </si>
  <si>
    <t>Containerized API — Docker image deployed to Cloud Run, auto-scales to zero</t>
  </si>
  <si>
    <t>Cloud Functions</t>
  </si>
  <si>
    <t>Image processing trigger — upload image to bucket, function auto-resizes and stores</t>
  </si>
  <si>
    <t>Real time poll app — create polls, vote, see live results update without refresh</t>
  </si>
  <si>
    <t>BigQuery</t>
  </si>
  <si>
    <t>Web analytics pipeline — ingest events, SQL analysis, user behavior reports</t>
  </si>
  <si>
    <t>Pub/Sub</t>
  </si>
  <si>
    <t>Event-driven notification system — publish events, multiple subscribers process differently</t>
  </si>
  <si>
    <t>Cloud - AWS</t>
  </si>
  <si>
    <t>Lambda</t>
  </si>
  <si>
    <t>Serverless form processor — receive form data, validate, store to DynamoDB, send email</t>
  </si>
  <si>
    <t>EC2</t>
  </si>
  <si>
    <t>Self-hosted web app — deploy any prior project to EC2, configure nginx, SSL certificate</t>
  </si>
  <si>
    <t>S3</t>
  </si>
  <si>
    <t>Static site hosting — deploy a frontend app to S3, CloudFront CDN, custom domain</t>
  </si>
  <si>
    <t>RDS</t>
  </si>
  <si>
    <t>Managed database backend — connect any API to RDS PostgreSQL, connection pooling</t>
  </si>
  <si>
    <t>API Gateway</t>
  </si>
  <si>
    <t>Managed API layer — route requests to Lambda functions, auth, rate limiting</t>
  </si>
  <si>
    <t>SQS</t>
  </si>
  <si>
    <t>Background job queue — offload slow tasks, process asynchronously, dead letter queue</t>
  </si>
  <si>
    <t>CloudFront</t>
  </si>
  <si>
    <t>CDN for media — serve images and videos globally, cache headers, origin configuration</t>
  </si>
  <si>
    <t>Amplify</t>
  </si>
  <si>
    <t>Full stack deployment — React frontend + API backend deployed in one command</t>
  </si>
  <si>
    <t>Cloud - Azure</t>
  </si>
  <si>
    <t>Azure Functions</t>
  </si>
  <si>
    <t>Serverless data processor — trigger on schedule, transform data, store results</t>
  </si>
  <si>
    <t>Azure OpenAI</t>
  </si>
  <si>
    <t>Enterprise chat app — GPT-4 via Azure, content filtering, usage tracking, cost monitoring</t>
  </si>
  <si>
    <t>Azure Blob Storage</t>
  </si>
  <si>
    <t>Document management system — upload, organize, retrieve, generate temporary access links</t>
  </si>
  <si>
    <t>Azure DevOps</t>
  </si>
  <si>
    <t>Complete CI/CD pipeline — build, test, deploy pipeline with environments and approvals</t>
  </si>
  <si>
    <t>Cloud - Other</t>
  </si>
  <si>
    <t>Vercel</t>
  </si>
  <si>
    <t>Next.js app with edge functions — deploy, custom domain, environment variables, analytics</t>
  </si>
  <si>
    <t>Netlify</t>
  </si>
  <si>
    <t>JAMstack site — static site, Netlify Functions, form handling, identity service</t>
  </si>
  <si>
    <t>Railway</t>
  </si>
  <si>
    <t>Full stack app — web service + PostgreSQL + Redis all deployed together</t>
  </si>
  <si>
    <t>Render</t>
  </si>
  <si>
    <t>Background worker — web service + worker process, cron jobs, managed database</t>
  </si>
  <si>
    <t>Fly.io</t>
  </si>
  <si>
    <t>Global app deployment — deploy to multiple regions, low latency worldwide</t>
  </si>
  <si>
    <t>Supabase</t>
  </si>
  <si>
    <t>Real time app — PostgreSQL + auth + real time subscriptions + storage in one platform</t>
  </si>
  <si>
    <t>Branching database workflow — create branch, test schema change, merge to production</t>
  </si>
  <si>
    <t>Neon</t>
  </si>
  <si>
    <t>Serverless PostgreSQL — auto-suspend, instant branch for each PR, connection pooling</t>
  </si>
  <si>
    <t>Cloudflare Workers</t>
  </si>
  <si>
    <t>Edge API — global deployment, KV storage, no cold starts, sub-millisecond response</t>
  </si>
  <si>
    <t>Deno Deploy</t>
  </si>
  <si>
    <t>TypeScript edge API — Deno runtime, global distribution, import maps, no node_modules</t>
  </si>
  <si>
    <t>DevOps - Containers</t>
  </si>
  <si>
    <t>Docker</t>
  </si>
  <si>
    <t>Containerized full stack app — Dockerfile for API + frontend, multi-stage build, small image</t>
  </si>
  <si>
    <t>Docker Compose</t>
  </si>
  <si>
    <t>Local dev environment — API + database + cache + worker all running with one command</t>
  </si>
  <si>
    <t>Kubernetes</t>
  </si>
  <si>
    <t>Deploy containerized app — pods, services, deployments, ingress, ConfigMaps, secrets</t>
  </si>
  <si>
    <t>Helm</t>
  </si>
  <si>
    <t>Kubernetes package — chart for any prior K8s deployment, configurable values</t>
  </si>
  <si>
    <t>DevOps - CI/CD</t>
  </si>
  <si>
    <t>GitHub Actions</t>
  </si>
  <si>
    <t>Full pipeline — lint, test, build, deploy on push to main, notifications on failure</t>
  </si>
  <si>
    <t>GitLab CI</t>
  </si>
  <si>
    <t>Mirror of GitHub Actions project — same pipeline, different syntax, understand both</t>
  </si>
  <si>
    <t>CircleCI</t>
  </si>
  <si>
    <t>Parallel test runner — split test suite across multiple containers, faster CI</t>
  </si>
  <si>
    <t>Jenkins</t>
  </si>
  <si>
    <t>Self-hosted CI — run Jenkins locally or on EC2, build pipeline with Jenkinsfile</t>
  </si>
  <si>
    <t>DevOps - IaC</t>
  </si>
  <si>
    <t>Terraform</t>
  </si>
  <si>
    <t>AWS infrastructure — VPC, EC2, RDS, S3, security groups all provisioned with code</t>
  </si>
  <si>
    <t>Pulumi</t>
  </si>
  <si>
    <t>Same infrastructure as Terraform project — but written in Python, compare the experience</t>
  </si>
  <si>
    <t>Ansible</t>
  </si>
  <si>
    <t>Server configuration — provision a fresh Ubuntu server, install everything, configure</t>
  </si>
  <si>
    <t>DevOps - Monitoring</t>
  </si>
  <si>
    <t>Sentry</t>
  </si>
  <si>
    <t>Error tracking integration — add to any prior project, capture errors, alerts, replays</t>
  </si>
  <si>
    <t>Datadog</t>
  </si>
  <si>
    <t>Full stack monitoring — APM, logs, infrastructure metrics, custom dashboards</t>
  </si>
  <si>
    <t>Grafana</t>
  </si>
  <si>
    <t>Metrics dashboard — connect to Prometheus, build panels for any prior service</t>
  </si>
  <si>
    <t>Prometheus</t>
  </si>
  <si>
    <t>Metrics collection — instrument a FastAPI app, expose metrics endpoint, scrape and store</t>
  </si>
  <si>
    <t>OpenTelemetry</t>
  </si>
  <si>
    <t>Distributed tracing — trace a request across multiple services, visualize the flow</t>
  </si>
  <si>
    <t>Real Time</t>
  </si>
  <si>
    <t>WebSockets</t>
  </si>
  <si>
    <t>Multiplayer quiz game — host creates game, players join, real time questions and scores</t>
  </si>
  <si>
    <t>Socket.io</t>
  </si>
  <si>
    <t>Collaborative whiteboard — multiple users draw simultaneously, see each other live</t>
  </si>
  <si>
    <t>Server Sent Events</t>
  </si>
  <si>
    <t>Live sports score ticker — server pushes score updates, no polling, efficient one-way stream</t>
  </si>
  <si>
    <t>WebRTC</t>
  </si>
  <si>
    <t>Peer to peer video chat — direct browser to browser video call, no server relay</t>
  </si>
  <si>
    <t>GraphQL Subscriptions</t>
  </si>
  <si>
    <t>Live dashboard — subscribe to data changes, UI updates instantly without refresh</t>
  </si>
  <si>
    <t>MQTT</t>
  </si>
  <si>
    <t>IoT sensor dashboard — simulated sensors publish data, dashboard subscribes and displays</t>
  </si>
  <si>
    <t>gRPC</t>
  </si>
  <si>
    <t>Microservice communication — two services talking via protobuf, faster than REST</t>
  </si>
  <si>
    <t>Mobile</t>
  </si>
  <si>
    <t>Habit tracker — daily habits, streak counter, notifications, iOS and Android</t>
  </si>
  <si>
    <t>Expo</t>
  </si>
  <si>
    <t>QR code scanner — scan codes, save history, open URLs, share results</t>
  </si>
  <si>
    <t>Flutter</t>
  </si>
  <si>
    <t>Budget tracker — add income/expenses, charts, categories, works on iOS and Android</t>
  </si>
  <si>
    <t>SwiftUI</t>
  </si>
  <si>
    <t>Workout logger iOS — log exercises, sets, reps, rest timer, history view</t>
  </si>
  <si>
    <t>Jetpack Compose</t>
  </si>
  <si>
    <t>Note app Android — create/edit/delete notes, search, tags, local Room database</t>
  </si>
  <si>
    <t>Ionic</t>
  </si>
  <si>
    <t>Inventory manager hybrid — works in browser and mobile, barcode scan, stock levels</t>
  </si>
  <si>
    <t>Capacitor</t>
  </si>
  <si>
    <t>Web app to mobile — take any prior web app, wrap as installable mobile app</t>
  </si>
  <si>
    <t>PWA</t>
  </si>
  <si>
    <t>Offline-capable to-do app — installable from browser, works without internet, push notifications</t>
  </si>
  <si>
    <t>Desktop</t>
  </si>
  <si>
    <t>Electron</t>
  </si>
  <si>
    <t>Desktop markdown editor — live preview, file system access, syntax highlighting, export to PDF</t>
  </si>
  <si>
    <t>Tauri</t>
  </si>
  <si>
    <t>Lightweight system monitor — CPU, memory, disk usage, faster and smaller than Electron</t>
  </si>
  <si>
    <t>PyQt / PySide6</t>
  </si>
  <si>
    <t>Data dashboard desktop app — load CSV, display charts, filter data, export results</t>
  </si>
  <si>
    <t>Tkinter</t>
  </si>
  <si>
    <t>Simple image resizer — drag and drop images, set dimensions, batch resize, save output</t>
  </si>
  <si>
    <t>wxPython</t>
  </si>
  <si>
    <t>File duplicate finder GUI — visual interface for the Rust CLI tool built earlier</t>
  </si>
  <si>
    <t>.NET MAUI</t>
  </si>
  <si>
    <t>Cross-platform budget app — runs on Windows, Mac, iOS, Android from one codebase</t>
  </si>
  <si>
    <t>JavaFX</t>
  </si>
  <si>
    <t>Inventory management desktop — Java GUI, table views, search, CRUD operations</t>
  </si>
  <si>
    <t>Game Dev</t>
  </si>
  <si>
    <t>Pygame</t>
  </si>
  <si>
    <t>Snake game — classic snake, increasing speed, high score, game over screen</t>
  </si>
  <si>
    <t>Godot</t>
  </si>
  <si>
    <t>2D platformer — player movement, collectibles, enemies, level progression, score</t>
  </si>
  <si>
    <t>Unity</t>
  </si>
  <si>
    <t>3D maze game — navigate a maze, timer, collectibles, win condition</t>
  </si>
  <si>
    <t>Phaser.js</t>
  </si>
  <si>
    <t>Browser space shooter — player ship, enemies, bullets, power-ups, leaderboard</t>
  </si>
  <si>
    <t>Three.js (games)</t>
  </si>
  <si>
    <t>3D endless runner — procedural track, obstacles, score, increasing speed</t>
  </si>
  <si>
    <t>Babylon.js</t>
  </si>
  <si>
    <t>3D puzzle game — pick up and place blocks, physics engine, level editor</t>
  </si>
  <si>
    <t>Love2D</t>
  </si>
  <si>
    <t>Brick breaker — Lua, paddle, ball, bricks, power-ups, multiple levels</t>
  </si>
  <si>
    <t>Blockchain/Web3</t>
  </si>
  <si>
    <t>Solidity</t>
  </si>
  <si>
    <t>Simple token contract — ERC-20 token, mint, transfer, balance check on testnet</t>
  </si>
  <si>
    <t>Hardhat</t>
  </si>
  <si>
    <t>Smart contract test suite — deploy to local network, write tests, verify behavior</t>
  </si>
  <si>
    <t>ethers.js</t>
  </si>
  <si>
    <t>Wallet connection UI — connect MetaMask, display balance, send transaction</t>
  </si>
  <si>
    <t>Web3.py</t>
  </si>
  <si>
    <t>Blockchain data reader — Python script reads contract state, transaction history</t>
  </si>
  <si>
    <t>IPFS</t>
  </si>
  <si>
    <t>Decentralized file storage — upload files to IPFS, retrieve by hash, pin service</t>
  </si>
  <si>
    <t>The Graph</t>
  </si>
  <si>
    <t>Blockchain data indexer — create subgraph for a contract, query historical events</t>
  </si>
  <si>
    <t>Testing</t>
  </si>
  <si>
    <t>pytest</t>
  </si>
  <si>
    <t>Full test suite — unit, integration, fixtures, parametrize, mock external APIs</t>
  </si>
  <si>
    <t>Jest</t>
  </si>
  <si>
    <t>React component tests — render tests, user interaction tests, snapshot tests</t>
  </si>
  <si>
    <t>Vitest</t>
  </si>
  <si>
    <t>Vite project test suite — fast unit tests, coverage report, watch mode</t>
  </si>
  <si>
    <t>Cypress</t>
  </si>
  <si>
    <t>E2E test suite — test a full user flow, login to checkout, real browser automation</t>
  </si>
  <si>
    <t>Playwright</t>
  </si>
  <si>
    <t>Cross-browser tests — same test suite runs on Chrome, Firefox, Safari</t>
  </si>
  <si>
    <t>Postman / Thunder Client</t>
  </si>
  <si>
    <t>API test collection — 20 API tests, environment variables, pre-request scripts</t>
  </si>
  <si>
    <t>k6</t>
  </si>
  <si>
    <t>Load test — simulate 1000 concurrent users on any prior API, find breaking point</t>
  </si>
  <si>
    <t>Storybook</t>
  </si>
  <si>
    <t>Component library — document 10 reusable components, interactive props, usage examples</t>
  </si>
  <si>
    <t>Architecture Patterns</t>
  </si>
  <si>
    <t>REST API</t>
  </si>
  <si>
    <t>Standard resource API — follows all REST constraints, proper status codes, HATEOAS links</t>
  </si>
  <si>
    <t>GraphQL</t>
  </si>
  <si>
    <t>Book catalog API — schema, queries, mutations, subscriptions, DataLoader for N+1</t>
  </si>
  <si>
    <t>File processing service — upload via gRPC, process server side, stream results back</t>
  </si>
  <si>
    <t>Event driven</t>
  </si>
  <si>
    <t>Order processing system — place order event triggers inventory, payment, notification services</t>
  </si>
  <si>
    <t>Microservices</t>
  </si>
  <si>
    <t>Simple e-commerce — auth service, product service, order service, each independently deployable</t>
  </si>
  <si>
    <t>Serverless</t>
  </si>
  <si>
    <t>Image processing pipeline — upload triggers resize, watermark, CDN push, all serverless</t>
  </si>
  <si>
    <t>Monorepo</t>
  </si>
  <si>
    <t>Shared component library — Turborepo, shared UI package used by multiple apps</t>
  </si>
  <si>
    <t>CQRS</t>
  </si>
  <si>
    <t>Inventory system — separate write model for updates, read model for queries, event store</t>
  </si>
  <si>
    <t>Event sourcing</t>
  </si>
  <si>
    <t>Bank account — never update balance directly, store every transaction as event, replay to get balance</t>
  </si>
  <si>
    <t>Hexagonal architecture</t>
  </si>
  <si>
    <t>Clean API — business logic has zero framework dependencies, ports and adapters pattern</t>
  </si>
  <si>
    <t>Bonus - Original Work</t>
  </si>
  <si>
    <t>Multi-agent system</t>
  </si>
  <si>
    <t>Autonomous multi-agent system — sanitized, documented, published</t>
  </si>
  <si>
    <t>LangChain + HubSpot + Pinecone</t>
  </si>
  <si>
    <t>LangChain + HubSpot + Pinecone pipeline — cleaned up, README, deployed</t>
  </si>
  <si>
    <t>AI reasoning research</t>
  </si>
  <si>
    <t>AI reasoning invariance experiment — documented findings, reproducible test protocol</t>
  </si>
  <si>
    <t>AGENTS.md generator</t>
  </si>
  <si>
    <t>agents.md generator — give it a tech stack, it writes a custom AGENTS.md</t>
  </si>
  <si>
    <t>Protocol abstraction</t>
  </si>
  <si>
    <t>Protocol abstraction layer — your reasoning invariant, implemented as a reusable library</t>
  </si>
  <si>
    <t>Documentation bot</t>
  </si>
  <si>
    <t>Build documentation bot — reads any repo, writes the README automatically</t>
  </si>
  <si>
    <t>AI changelog detector</t>
  </si>
  <si>
    <t>AI changelog detector — monitors LLM behavior shifts, logs behavioral diffs over time</t>
  </si>
  <si>
    <t>286 Projects Tracker — Summary</t>
  </si>
  <si>
    <t>Total Projects</t>
  </si>
  <si>
    <t>In Progress</t>
  </si>
  <si>
    <t>Done</t>
  </si>
  <si>
    <t>Percent Complete</t>
  </si>
  <si>
    <t>By Category</t>
  </si>
  <si>
    <t>Total</t>
  </si>
  <si>
    <t>% Done</t>
  </si>
  <si>
    <t>Week</t>
  </si>
  <si>
    <t>Phase</t>
  </si>
  <si>
    <t>Study Focus</t>
  </si>
  <si>
    <t>Build Task (Practice Alongside)</t>
  </si>
  <si>
    <t>Date Completed</t>
  </si>
  <si>
    <t>Phase 1: AI Practitioner (AIF-C01)</t>
  </si>
  <si>
    <t>Domain 1 &amp; 2 — AI/ML fundamentals, types of learning, generative AI concepts. Watch AWS Skill Builder AI Practitioner course or Stephane Maarek/Frank Kane course (~$20).</t>
  </si>
  <si>
    <t>Open a free AWS account, set a billing alarm at $5. Explore the Bedrock playground in the console — test a prompt with Nova Lite, no code needed yet.</t>
  </si>
  <si>
    <t>Domain 3 &amp; 4 — Applications of foundation models, RAG vs fine-tuning vs prompt engineering, Bedrock Knowledge Bases, Agents, Guardrails, responsible AI.</t>
  </si>
  <si>
    <t>Build a simple Bedrock-powered agent using the Strands Agents SDK (~40 lines of Python) — a small Q&amp;A or tool-calling bot.</t>
  </si>
  <si>
    <t>Domain 5 — Security, compliance, governance. Then full practice exams daily (Tutorials Dojo / Whizlabs) until consistently scoring 80%+.</t>
  </si>
  <si>
    <t>Document the Bedrock agent build on GitHub with a README — counts as a 286-list build too if it fits an open slot.</t>
  </si>
  <si>
    <t>EXAM 1</t>
  </si>
  <si>
    <t>Schedule &amp; take AIF-C01</t>
  </si>
  <si>
    <t>Book at Pearson VUE or take online proctored. Cost: ~$100.</t>
  </si>
  <si>
    <t>—</t>
  </si>
  <si>
    <t>Phase 2: Cloud Practitioner (CLF-C02)</t>
  </si>
  <si>
    <t>Core AWS infrastructure: EC2, S3, Lambda, IAM, shared responsibility model. This is the area you're thinnest on — give it real attention.</t>
  </si>
  <si>
    <t>Host a static site on S3, add a CloudFront distribution. Small, concrete, finishable in a sitting.</t>
  </si>
  <si>
    <t>Billing &amp; support models, well-architected framework basics, core service use-cases beyond AI (databases, networking basics).</t>
  </si>
  <si>
    <t>Build a Lambda function triggered by an S3 upload (e.g. auto-resize an image). Stays inside always-free tier.</t>
  </si>
  <si>
    <t>Practice exams daily. This exam is usually the most straightforward of the three — confirm you're consistently passing mocks before booking.</t>
  </si>
  <si>
    <t>Push the Lambda + S3 project to GitHub with a README.</t>
  </si>
  <si>
    <t>EXAM 2</t>
  </si>
  <si>
    <t>Schedule &amp; take CLF-C02</t>
  </si>
  <si>
    <t>Cost: ~$100.</t>
  </si>
  <si>
    <t>Phase 3: Gen AI Developer Professional</t>
  </si>
  <si>
    <t>Production deployment patterns on Bedrock — Knowledge Bases (RAG), Agents, Guardrails, AgentCore, model evaluation, prompt management.</t>
  </si>
  <si>
    <t>Pick an existing build (e.g. the LangChain + Pinecone + HubSpot pipeline) and add a Bedrock-powered piece to it, or rebuild the AI layer using Bedrock instead of OpenAI/Google.</t>
  </si>
  <si>
    <t>Cost optimization, model routing, evaluation metrics, security/compliance for production AI systems at scale.</t>
  </si>
  <si>
    <t>Add cost monitoring / a billing budget to the Bedrock project — mirrors a real exam scenario and a real skill.</t>
  </si>
  <si>
    <t>Deep practice exams — this is the hardest of the three, 180 minutes, professional-level. Don't rush; push past week 10 if needed rather than risk a costly retake.</t>
  </si>
  <si>
    <t>Polish and document the Bedrock production build — this becomes a strong portfolio + interview talking point.</t>
  </si>
  <si>
    <t>Final practice exams, gap-fill weak domains, rest day before the real exam.</t>
  </si>
  <si>
    <t>Final review of the build — make sure README clearly explains what it does and why, in plain language.</t>
  </si>
  <si>
    <t>EXAM 3</t>
  </si>
  <si>
    <t>Schedule &amp; take Gen AI Developer Professional</t>
  </si>
  <si>
    <t>Cost: ~$300. OK to push past week 10 if not ready — better than a failed attempt and retake fee.</t>
  </si>
  <si>
    <t>Budget Summary</t>
  </si>
  <si>
    <t>AI Practitioner exam</t>
  </si>
  <si>
    <t>$100</t>
  </si>
  <si>
    <t>Cloud Practitioner exam</t>
  </si>
  <si>
    <t>Gen AI Developer Professional exam</t>
  </si>
  <si>
    <t>$300</t>
  </si>
  <si>
    <t>Prep materials (courses, practice exams)</t>
  </si>
  <si>
    <t>$60-100</t>
  </si>
  <si>
    <t>Total estimated</t>
  </si>
  <si>
    <t>~$560-600</t>
  </si>
  <si>
    <t>Remaining from $2,000 gift</t>
  </si>
  <si>
    <t>~$1,400+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</si>
</sst>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b/>
      <sz val="11"/>
      <color rgb="FF1A1A1A"/>
      <name val="Arial"/>
      <charset val="1"/>
    </font>
    <font>
      <b/>
      <sz val="10"/>
      <color rgb="FF2E7D32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2F3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164" fontId="6" fillId="0" borderId="0" xfId="0" applyNumberFormat="1" applyFont="1" applyAlignment="1"/>
    <xf numFmtId="0" fontId="7" fillId="0" borderId="0" xfId="0" applyFont="1" applyAlignment="1"/>
    <xf numFmtId="0" fontId="8" fillId="2" borderId="0" xfId="0" applyFont="1" applyFill="1" applyAlignment="1">
      <alignment horizontal="center" vertical="center"/>
    </xf>
    <xf numFmtId="0" fontId="2" fillId="0" borderId="1" xfId="0" applyFont="1" applyBorder="1" applyAlignment="1"/>
    <xf numFmtId="164" fontId="2" fillId="0" borderId="1" xfId="0" applyNumberFormat="1" applyFont="1" applyBorder="1" applyAlignment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 wrapText="1"/>
    </xf>
    <xf numFmtId="0" fontId="7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</cellXfs>
  <cellStyles count="1">
    <cellStyle name="Normal" xfId="0" builtinId="0"/>
  </cellStyles>
  <dxfs count="6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7"/>
  <sheetViews>
    <sheetView tabSelected="1" zoomScaleNormal="100" workbookViewId="0">
      <pane ySplit="1" topLeftCell="A17" activePane="bottomLeft" state="frozen"/>
      <selection pane="bottomLeft" activeCell="C17" sqref="C17"/>
    </sheetView>
  </sheetViews>
  <sheetFormatPr defaultColWidth="8.7109375" defaultRowHeight="15" x14ac:dyDescent="0.25"/>
  <cols>
    <col min="1" max="1" width="9" style="1" customWidth="1"/>
    <col min="2" max="3" width="22" style="1" customWidth="1"/>
    <col min="4" max="4" width="55" style="1" customWidth="1"/>
    <col min="5" max="6" width="14" style="1" customWidth="1"/>
    <col min="7" max="7" width="24" style="1" customWidth="1"/>
    <col min="8" max="8" width="28" style="1" customWidth="1"/>
    <col min="9" max="9" width="30" style="1" customWidth="1"/>
  </cols>
  <sheetData>
    <row r="1" spans="1:9" ht="1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customHeight="1" x14ac:dyDescent="0.25">
      <c r="A2" s="3">
        <v>1</v>
      </c>
      <c r="B2" s="4" t="s">
        <v>9</v>
      </c>
      <c r="C2" s="5" t="s">
        <v>10</v>
      </c>
      <c r="D2" s="5" t="s">
        <v>11</v>
      </c>
      <c r="E2" t="inlineStr">
        <is>
          <t>Completed</t>
        </is>
      </c>
      <c r="F2" t="inlineStr">
        <is>
          <t>2026-06-06</t>
        </is>
      </c>
      <c r="G2" s="5"/>
      <c r="H2" t="inlineStr">
        <is>
          <t>https://github.com/breakingthebot/expense-tracker</t>
        </is>
      </c>
      <c r="I2" t="inlineStr">
        <is>
          <t>Depth: Expanded</t>
        </is>
      </c>
    </row>
    <row r="3" spans="1:9" ht="30" customHeight="1" x14ac:dyDescent="0.25">
      <c r="A3" s="3">
        <v>2</v>
      </c>
      <c r="B3" s="4" t="s">
        <v>9</v>
      </c>
      <c r="C3" s="5" t="s">
        <v>13</v>
      </c>
      <c r="D3" s="5" t="s">
        <v>14</v>
      </c>
      <c r="E3" t="inlineStr">
        <is>
          <t>Completed</t>
        </is>
      </c>
      <c r="F3" t="inlineStr">
        <is>
          <t>2026-06-07</t>
        </is>
      </c>
      <c r="G3" s="5"/>
      <c r="H3" t="inlineStr">
        <is>
          <t>https://github.com/breakingthebot/Async-News-Aggregator</t>
        </is>
      </c>
      <c r="I3" t="inlineStr">
        <is>
          <t>Depth: Expanded</t>
        </is>
      </c>
    </row>
    <row r="4" spans="1:9" ht="30" customHeight="1" x14ac:dyDescent="0.25">
      <c r="A4" s="3">
        <v>3</v>
      </c>
      <c r="B4" s="4" t="s">
        <v>9</v>
      </c>
      <c r="C4" s="5" t="s">
        <v>15</v>
      </c>
      <c r="D4" s="5" t="s">
        <v>16</v>
      </c>
      <c r="E4" t="inlineStr">
        <is>
          <t>Completed</t>
        </is>
      </c>
      <c r="F4" t="inlineStr">
        <is>
          <t>2026-06-09</t>
        </is>
      </c>
      <c r="G4" s="5"/>
      <c r="H4" t="inlineStr">
        <is>
          <t>https://github.com/breakingthebot/Sales-Dashboard</t>
        </is>
      </c>
      <c r="I4" t="inlineStr">
        <is>
          <t>Depth: Deep</t>
        </is>
      </c>
    </row>
    <row r="5" spans="1:9" ht="30" customHeight="1" x14ac:dyDescent="0.25">
      <c r="A5" s="3">
        <v>4</v>
      </c>
      <c r="B5" s="4" t="s">
        <v>9</v>
      </c>
      <c r="C5" s="5" t="s">
        <v>17</v>
      </c>
      <c r="D5" s="5" t="s">
        <v>18</v>
      </c>
      <c r="E5" t="inlineStr">
        <is>
          <t>Completed</t>
        </is>
      </c>
      <c r="F5" t="inlineStr">
        <is>
          <t>2026-06-09</t>
        </is>
      </c>
      <c r="G5" s="5"/>
      <c r="H5" t="inlineStr">
        <is>
          <t>https://github.com/breakingthebot/file-organizer</t>
        </is>
      </c>
      <c r="I5" t="inlineStr">
        <is>
          <t>Depth: Expanded</t>
        </is>
      </c>
    </row>
    <row r="6" spans="1:9" ht="30" customHeight="1" x14ac:dyDescent="0.25">
      <c r="A6" s="3">
        <v>5</v>
      </c>
      <c r="B6" s="4" t="s">
        <v>9</v>
      </c>
      <c r="C6" s="5" t="s">
        <v>19</v>
      </c>
      <c r="D6" s="5" t="s">
        <v>20</v>
      </c>
      <c r="E6" t="inlineStr">
        <is>
          <t>Completed</t>
        </is>
      </c>
      <c r="F6" t="inlineStr">
        <is>
          <t>2026-06-10</t>
        </is>
      </c>
      <c r="G6" s="5"/>
      <c r="H6" t="inlineStr">
        <is>
          <t>https://github.com/breakingthebot/chat-server</t>
        </is>
      </c>
      <c r="I6" t="inlineStr">
        <is>
          <t>Depth: Deep</t>
        </is>
      </c>
    </row>
    <row r="7" spans="1:9" ht="30" customHeight="1" x14ac:dyDescent="0.25">
      <c r="A7" s="3">
        <v>6</v>
      </c>
      <c r="B7" s="4" t="s">
        <v>9</v>
      </c>
      <c r="C7" s="5" t="s">
        <v>21</v>
      </c>
      <c r="D7" s="5" t="s">
        <v>22</v>
      </c>
      <c r="E7" t="inlineStr">
        <is>
          <t>Completed</t>
        </is>
      </c>
      <c r="F7" t="inlineStr">
        <is>
          <t>2026-06-12</t>
        </is>
      </c>
      <c r="G7" s="5"/>
      <c r="H7" t="inlineStr">
        <is>
          <t>https://github.com/breakingthebot/House-price-predictor</t>
        </is>
      </c>
      <c r="I7" t="inlineStr">
        <is>
          <t>Depth: Deep</t>
        </is>
      </c>
    </row>
    <row r="8" spans="1:9" ht="30" customHeight="1" x14ac:dyDescent="0.25">
      <c r="A8" s="3">
        <v>7</v>
      </c>
      <c r="B8" s="4" t="s">
        <v>9</v>
      </c>
      <c r="C8" s="5" t="s">
        <v>23</v>
      </c>
      <c r="D8" s="5" t="s">
        <v>24</v>
      </c>
      <c r="E8" t="inlineStr">
        <is>
          <t>Completed</t>
        </is>
      </c>
      <c r="F8" t="inlineStr">
        <is>
          <t>2026-06-17</t>
        </is>
      </c>
      <c r="G8" s="5"/>
      <c r="H8" t="inlineStr">
        <is>
          <t>https://github.com/breakingthebot/Dev-toolkit</t>
        </is>
      </c>
      <c r="I8" t="inlineStr">
        <is>
          <t>Depth: Expanded</t>
        </is>
      </c>
    </row>
    <row r="9" spans="1:9" ht="30" customHeight="1" x14ac:dyDescent="0.25">
      <c r="A9" s="3">
        <v>8</v>
      </c>
      <c r="B9" s="4" t="s">
        <v>9</v>
      </c>
      <c r="C9" s="5" t="s">
        <v>25</v>
      </c>
      <c r="D9" s="5" t="s">
        <v>26</v>
      </c>
      <c r="E9" t="inlineStr">
        <is>
          <t>Completed</t>
        </is>
      </c>
      <c r="F9" t="inlineStr">
        <is>
          <t>2026-06-18</t>
        </is>
      </c>
      <c r="G9" s="5"/>
      <c r="H9" t="inlineStr">
        <is>
          <t>https://github.com/breakingthebot/Python-testing</t>
        </is>
      </c>
      <c r="I9" t="inlineStr">
        <is>
          <t>Depth: Deep</t>
        </is>
      </c>
    </row>
    <row r="10" spans="1:9" ht="30" customHeight="1" x14ac:dyDescent="0.25">
      <c r="A10" s="3">
        <v>9</v>
      </c>
      <c r="B10" s="4" t="s">
        <v>9</v>
      </c>
      <c r="C10" s="5" t="s">
        <v>27</v>
      </c>
      <c r="D10" s="5" t="s">
        <v>28</v>
      </c>
      <c r="E10" t="inlineStr">
        <is>
          <t>Completed</t>
        </is>
      </c>
      <c r="F10" t="inlineStr">
        <is>
          <t>2026-06-19</t>
        </is>
      </c>
      <c r="G10" s="5"/>
      <c r="H10" t="inlineStr">
        <is>
          <t>https://github.com/breakingthebot/Kanban-Board-Vanilla-JS</t>
        </is>
      </c>
      <c r="I10" t="inlineStr">
        <is>
          <t>Depth: Deep</t>
        </is>
      </c>
    </row>
    <row r="11" spans="1:9" ht="30" customHeight="1" x14ac:dyDescent="0.25">
      <c r="A11" s="3">
        <v>10</v>
      </c>
      <c r="B11" s="4" t="s">
        <v>9</v>
      </c>
      <c r="C11" s="5" t="s">
        <v>29</v>
      </c>
      <c r="D11" s="5" t="s">
        <v>30</v>
      </c>
      <c r="E11" t="inlineStr">
        <is>
          <t>Completed</t>
        </is>
      </c>
      <c r="F11" t="inlineStr">
        <is>
          <t>2026-06-20</t>
        </is>
      </c>
      <c r="G11" s="5"/>
      <c r="H11" t="inlineStr">
        <is>
          <t>https://github.com/breakingthebot/Typed-Task-Manager</t>
        </is>
      </c>
      <c r="I11" t="inlineStr">
        <is>
          <t>Depth: Deep</t>
        </is>
      </c>
    </row>
    <row r="12" spans="1:9" ht="30" customHeight="1" x14ac:dyDescent="0.25">
      <c r="A12" s="3">
        <v>11</v>
      </c>
      <c r="B12" s="4" t="s">
        <v>9</v>
      </c>
      <c r="C12" s="5" t="s">
        <v>31</v>
      </c>
      <c r="D12" s="5" t="s">
        <v>32</v>
      </c>
      <c r="E12" t="inlineStr">
        <is>
          <t>Completed</t>
        </is>
      </c>
      <c r="F12" t="inlineStr">
        <is>
          <t>2026-06-26</t>
        </is>
      </c>
      <c r="G12" s="5"/>
      <c r="H12" t="inlineStr">
        <is>
          <t>https://github.com/breakingthebot/music-player-es-modules</t>
        </is>
      </c>
      <c r="I12" t="inlineStr">
        <is>
          <t>Depth: Deep</t>
        </is>
      </c>
    </row>
    <row r="13" spans="1:9" ht="30" customHeight="1" x14ac:dyDescent="0.25">
      <c r="A13" s="3">
        <v>12</v>
      </c>
      <c r="B13" s="4" t="s">
        <v>9</v>
      </c>
      <c r="C13" s="5" t="s">
        <v>33</v>
      </c>
      <c r="D13" s="5" t="s">
        <v>34</v>
      </c>
      <c r="E13" t="inlineStr">
        <is>
          <t>Completed</t>
        </is>
      </c>
      <c r="F13" t="inlineStr">
        <is>
          <t>2026-06-27</t>
        </is>
      </c>
      <c r="G13" s="5"/>
      <c r="H13" t="inlineStr">
        <is>
          <t>https://github.com/breakingthebot/github-profile-viewer-vanilla-js</t>
        </is>
      </c>
      <c r="I13" t="inlineStr">
        <is>
          <t>Depth: Deep</t>
        </is>
      </c>
    </row>
    <row r="14" spans="1:9" ht="30" customHeight="1" x14ac:dyDescent="0.25">
      <c r="A14" s="3">
        <v>13</v>
      </c>
      <c r="B14" s="4" t="s">
        <v>9</v>
      </c>
      <c r="C14" s="5" t="s">
        <v>35</v>
      </c>
      <c r="D14" s="5" t="s">
        <v>36</v>
      </c>
      <c r="E14" t="inlineStr">
        <is>
          <t>Completed</t>
        </is>
      </c>
      <c r="F14" t="inlineStr">
        <is>
          <t>2026-06-28</t>
        </is>
      </c>
      <c r="G14" s="5"/>
      <c r="H14" t="inlineStr">
        <is>
          <t>https://github.com/breakingthebot/string-utils-jest</t>
        </is>
      </c>
      <c r="I14" t="inlineStr">
        <is>
          <t>Depth: Expanded</t>
        </is>
      </c>
    </row>
    <row r="15" spans="1:9" ht="30" customHeight="1" x14ac:dyDescent="0.25">
      <c r="A15" s="3">
        <v>14</v>
      </c>
      <c r="B15" s="4" t="s">
        <v>9</v>
      </c>
      <c r="C15" s="5" t="s">
        <v>37</v>
      </c>
      <c r="D15" s="5" t="s">
        <v>38</v>
      </c>
      <c r="E15" t="inlineStr">
        <is>
          <t>Completed</t>
        </is>
      </c>
      <c r="F15" t="inlineStr">
        <is>
          <t>2026-06-28</t>
        </is>
      </c>
      <c r="G15" s="5"/>
      <c r="H15" t="inlineStr">
        <is>
          <t>https://github.com/breakingthebot/php-contact-form-backend</t>
        </is>
      </c>
      <c r="I15" t="inlineStr">
        <is>
          <t>Depth: Deep</t>
        </is>
      </c>
    </row>
    <row r="16" spans="1:9" ht="30" customHeight="1" x14ac:dyDescent="0.25">
      <c r="A16" s="3">
        <v>15</v>
      </c>
      <c r="B16" s="4" t="s">
        <v>9</v>
      </c>
      <c r="C16" s="5" t="s">
        <v>39</v>
      </c>
      <c r="D16" s="5" t="s">
        <v>40</v>
      </c>
      <c r="E16" t="inlineStr">
        <is>
          <t>Completed</t>
        </is>
      </c>
      <c r="F16" t="inlineStr">
        <is>
          <t>2026-06-28</t>
        </is>
      </c>
      <c r="G16" s="5"/>
      <c r="H16" t="inlineStr">
        <is>
          <t>https://github.com/breakingthebot/url-shortener-api</t>
        </is>
      </c>
      <c r="I16" t="inlineStr">
        <is>
          <t>Depth: Expanded</t>
        </is>
      </c>
    </row>
    <row r="17" spans="1:9" ht="30" customHeight="1" x14ac:dyDescent="0.25">
      <c r="A17" s="3">
        <v>16</v>
      </c>
      <c r="B17" s="4" t="s">
        <v>9</v>
      </c>
      <c r="C17" s="5" t="s">
        <v>41</v>
      </c>
      <c r="D17" s="5" t="s">
        <v>42</v>
      </c>
      <c r="E17" t="inlineStr">
        <is>
          <t>Completed</t>
        </is>
      </c>
      <c r="F17" t="inlineStr">
        <is>
          <t>2026-06-28</t>
        </is>
      </c>
      <c r="G17" s="5"/>
      <c r="H17" t="inlineStr">
        <is>
          <t>https://github.com/breakingthebot/file-duplicate-finder-rust</t>
        </is>
      </c>
      <c r="I17" t="inlineStr">
        <is>
          <t>Depth: Expanded</t>
        </is>
      </c>
    </row>
    <row r="18" spans="1:9" ht="30" customHeight="1" x14ac:dyDescent="0.25">
      <c r="A18" s="3">
        <v>17</v>
      </c>
      <c r="B18" s="4" t="s">
        <v>9</v>
      </c>
      <c r="C18" s="5" t="s">
        <v>43</v>
      </c>
      <c r="D18" s="5" t="s">
        <v>44</v>
      </c>
      <c r="E18" t="inlineStr">
        <is>
          <t>Completed</t>
        </is>
      </c>
      <c r="F18" t="inlineStr">
        <is>
          <t>2026-06-30</t>
        </is>
      </c>
      <c r="G18" s="5"/>
      <c r="H18" t="inlineStr">
        <is>
          <t>https://github.com/breakingthebot/log-file-analyzer-ruby</t>
        </is>
      </c>
      <c r="I18" t="inlineStr">
        <is>
          <t>Depth: Deep | Streaming Ruby CLI with common/JSON and gzip input, batch analysis, per-file auto detection, time-window filtering, threshold exits, comparison mode, trend buckets, YAML config defaults, packaged install flow, and CSV/JSON export.</t>
        </is>
      </c>
    </row>
    <row r="19" spans="1:9" ht="30" customHeight="1" x14ac:dyDescent="0.25">
      <c r="A19" s="3">
        <v>18</v>
      </c>
      <c r="B19" s="4" t="s">
        <v>9</v>
      </c>
      <c r="C19" s="5" t="s">
        <v>45</v>
      </c>
      <c r="D19" s="5" t="s">
        <v>46</v>
      </c>
      <c r="E19" t="inlineStr">
        <is>
          <t>Completed</t>
        </is>
      </c>
      <c r="F19" t="inlineStr">
        <is>
          <t>2026-06-30</t>
        </is>
      </c>
      <c r="G19" s="5"/>
      <c r="H19" t="inlineStr">
        <is>
          <t>https://github.com/breakingthebot/library-catalog-java</t>
        </is>
      </c>
      <c r="I19" t="inlineStr">
        <is>
          <t>Depth: Expanded</t>
        </is>
      </c>
    </row>
    <row r="20" spans="1:9" ht="30" customHeight="1" x14ac:dyDescent="0.25">
      <c r="A20" s="3">
        <v>19</v>
      </c>
      <c r="B20" s="4" t="s">
        <v>9</v>
      </c>
      <c r="C20" s="5" t="s">
        <v>47</v>
      </c>
      <c r="D20" s="5" t="s">
        <v>48</v>
      </c>
      <c r="E20" t="inlineStr">
        <is>
          <t>Completed</t>
        </is>
      </c>
      <c r="F20" t="inlineStr">
        <is>
          <t>2026-07-02</t>
        </is>
      </c>
      <c r="G20" s="5"/>
      <c r="H20" t="inlineStr">
        <is>
          <t>https://github.com/breakingthebot/budget-tracker-console-app</t>
        </is>
      </c>
      <c r="I20" t="inlineStr">
        <is>
          <t>Depth: Expanded</t>
        </is>
      </c>
    </row>
    <row r="21" spans="1:9" ht="30" customHeight="1" x14ac:dyDescent="0.25">
      <c r="A21" s="3">
        <v>20</v>
      </c>
      <c r="B21" s="4" t="s">
        <v>9</v>
      </c>
      <c r="C21" s="5" t="s">
        <v>49</v>
      </c>
      <c r="D21" s="5" t="s">
        <v>50</v>
      </c>
      <c r="E21" t="inlineStr">
        <is>
          <t>Completed</t>
        </is>
      </c>
      <c r="F21" t="inlineStr">
        <is>
          <t>2026-07-03</t>
        </is>
      </c>
      <c r="G21" s="5"/>
      <c r="H21" t="inlineStr">
        <is>
          <t>https://github.com/breakingthebot/habit-tracker-ios-swiftui</t>
        </is>
      </c>
      <c r="I21" t="inlineStr">
        <is>
          <t>Depth: Deep</t>
        </is>
      </c>
    </row>
    <row r="22" spans="1:9" ht="30" customHeight="1" x14ac:dyDescent="0.25">
      <c r="A22" s="3">
        <v>21</v>
      </c>
      <c r="B22" s="4" t="s">
        <v>9</v>
      </c>
      <c r="C22" s="5" t="s">
        <v>51</v>
      </c>
      <c r="D22" s="5" t="s">
        <v>52</v>
      </c>
      <c r="E22" t="inlineStr">
        <is>
          <t>Completed</t>
        </is>
      </c>
      <c r="F22" t="inlineStr">
        <is>
          <t>2026-07-05</t>
        </is>
      </c>
      <c r="G22" s="5"/>
      <c r="H22" t="inlineStr">
        <is>
          <t>https://github.com/breakingthebot/quick-notes-android-compose</t>
        </is>
      </c>
      <c r="I22" t="inlineStr">
        <is>
          <t>Depth: Deep | Kotlin Android notes app with Jetpack Compose Material 3, Room persistence, tags, archive/restore flows, search, sort, home screen widgets, accessibility polish, and automated UI regression coverage.</t>
        </is>
      </c>
    </row>
    <row r="23" spans="1:9" ht="30" customHeight="1" x14ac:dyDescent="0.25">
      <c r="A23" s="3">
        <v>22</v>
      </c>
      <c r="B23" s="4" t="s">
        <v>9</v>
      </c>
      <c r="C23" s="5" t="s">
        <v>53</v>
      </c>
      <c r="D23" s="5" t="s">
        <v>54</v>
      </c>
      <c r="E23" t="inlineStr">
        <is>
          <t>Completed</t>
        </is>
      </c>
      <c r="F23" t="inlineStr">
        <is>
          <t>2026-07-05</t>
        </is>
      </c>
      <c r="G23" s="5"/>
      <c r="H23" t="inlineStr">
        <is>
          <t>https://github.com/breakingthebot/server-setup-script</t>
        </is>
      </c>
      <c r="I23" t="inlineStr">
        <is>
          <t>Depth: Deep | Bash automation script: package-manager-agnostic dependency install/verify, env.conf generation, config templating, cron-scheduled health checks, systemd service generator, Slack/Discord/webhook notifications, dry-run mode, and fail-safe rollback with diagnostic archiving.</t>
        </is>
      </c>
    </row>
    <row r="24" spans="1:9" ht="30" customHeight="1" x14ac:dyDescent="0.25">
      <c r="A24" s="3">
        <v>23</v>
      </c>
      <c r="B24" s="4" t="s">
        <v>9</v>
      </c>
      <c r="C24" s="5" t="s">
        <v>55</v>
      </c>
      <c r="D24" s="5" t="s">
        <v>56</v>
      </c>
      <c r="E24" t="inlineStr">
        <is>
          <t>Completed</t>
        </is>
      </c>
      <c r="F24" t="inlineStr">
        <is>
          <t>2026-07-06</t>
        </is>
      </c>
      <c r="G24" s="5"/>
      <c r="H24" t="inlineStr">
        <is>
          <t>https://github.com/breakingthebot/hammerspoon-config</t>
        </is>
      </c>
      <c r="I24" t="inlineStr">
        <is>
          <t>Depth: Deep | Window halves/thirds/maximize/center hotkeys, move-to-next/previous-screen with proportional resize across different-resolution monitors, app focus/launch/hide toggle, and GitHub Actions CI running the Lua test suite.</t>
        </is>
      </c>
    </row>
    <row r="25" spans="1:9" ht="30" customHeight="1" x14ac:dyDescent="0.25">
      <c r="A25" s="3">
        <v>24</v>
      </c>
      <c r="B25" s="4" t="s">
        <v>9</v>
      </c>
      <c r="C25" s="5" t="s">
        <v>57</v>
      </c>
      <c r="D25" s="5" t="s">
        <v>58</v>
      </c>
      <c r="E25" t="inlineStr">
        <is>
          <t>Completed</t>
        </is>
      </c>
      <c r="F25" t="inlineStr">
        <is>
          <t>2026-07-06</t>
        </is>
      </c>
      <c r="G25" s="5"/>
      <c r="H25" t="inlineStr">
        <is>
          <t>https://github.com/breakingthebot/sql-analytics-library</t>
        </is>
      </c>
      <c r="I25" t="inlineStr">
        <is>
          <t>Depth: Deep | 20-query analytical SQL library over a mock e-commerce SQLite DB: high-fidelity data generator (VIP/corporate discounts, inventory logs), query benchmarking/profiler, HTML portfolio dashboard, interactive SQL REPL shell, and pytest coverage.</t>
        </is>
      </c>
    </row>
    <row r="26" spans="1:9" ht="30" customHeight="1" x14ac:dyDescent="0.25">
      <c r="A26" s="3">
        <v>25</v>
      </c>
      <c r="B26" s="4" t="s">
        <v>59</v>
      </c>
      <c r="C26" s="5" t="s">
        <v>60</v>
      </c>
      <c r="D26" s="5" t="s">
        <v>61</v>
      </c>
      <c r="E26" t="inlineStr">
        <is>
          <t>Completed</t>
        </is>
      </c>
      <c r="F26" t="inlineStr">
        <is>
          <t>2026-07-07</t>
        </is>
      </c>
      <c r="G26" s="5"/>
      <c r="H26" t="inlineStr">
        <is>
          <t>https://github.com/breakingthebot/flavorfind-recipe-finder</t>
        </is>
      </c>
      <c r="I26" t="inlineStr">
        <is>
          <t>Depth: Deep | Recipe search/filter app with dietary restriction filters, custom recipe CRUD synced to localStorage, cook-mode step timers parsed via regex, and a shopping list aggregator that normalizes units and merges duplicate ingredients across recipes.</t>
        </is>
      </c>
    </row>
    <row r="27" spans="1:9" ht="30" customHeight="1" x14ac:dyDescent="0.25">
      <c r="A27" s="3">
        <v>26</v>
      </c>
      <c r="B27" s="4" t="s">
        <v>59</v>
      </c>
      <c r="C27" s="5" t="s">
        <v>62</v>
      </c>
      <c r="D27" s="5" t="s">
        <v>63</v>
      </c>
      <c r="E27" t="inlineStr">
        <is>
          <t>Completed</t>
        </is>
      </c>
      <c r="F27" t="inlineStr">
        <is>
          <t>2026-07-07</t>
        </is>
      </c>
      <c r="G27" s="5"/>
      <c r="H27" t="inlineStr">
        <is>
          <t>https://github.com/breakingthebot/portfolio-site</t>
        </is>
      </c>
      <c r="I27" t="inlineStr">
        <is>
          <t>Depth: Deep | Four-page site (Home, Projects, Blog, Contact) deployed to Vercel with a real Formspree-backed contact form. Replaced a stale third-party GitHub contribution chart with a first-party recent-activity widget after confirming the old one undercounted. Added per-page SEO titles, a generated sitemap.xml/robots.txt, and a WCAG contrast + heading-hierarchy + skip-link accessibility pass across 24 iterations.</t>
        </is>
      </c>
    </row>
    <row r="28" spans="1:9" ht="30" customHeight="1" x14ac:dyDescent="0.25">
      <c r="A28" s="3">
        <v>27</v>
      </c>
      <c r="B28" s="4" t="s">
        <v>59</v>
      </c>
      <c r="C28" s="5" t="s">
        <v>64</v>
      </c>
      <c r="D28" s="5" t="s">
        <v>65</v>
      </c>
      <c r="E28" t="inlineStr">
        <is>
          <t>Completed</t>
        </is>
      </c>
      <c r="F28" t="inlineStr">
        <is>
          <t>2026-07-07</t>
        </is>
      </c>
      <c r="G28" s="5"/>
      <c r="H28" t="inlineStr">
        <is>
          <t>https://github.com/breakingthebot/react-zustand-shopping-cart</t>
        </is>
      </c>
      <c r="I28" t="inlineStr">
        <is>
          <t>Depth: Deep | Zustand store with persist/partialize middleware so only real cart items survive a refresh, not transient UI state. Promo code system (percentage, flat, and free-shipping codes) with derived pricing getters so tax/shipping/discount math lives in one place. Toast notifications replaced a forced cart-drawer-open UX. Vitest + React Testing Library coverage across cartStore and toastStore.</t>
        </is>
      </c>
    </row>
    <row r="29" spans="1:9" ht="30" customHeight="1" x14ac:dyDescent="0.25">
      <c r="A29" s="3">
        <v>28</v>
      </c>
      <c r="B29" s="4" t="s">
        <v>59</v>
      </c>
      <c r="C29" s="5" t="s">
        <v>66</v>
      </c>
      <c r="D29" s="5" t="s">
        <v>67</v>
      </c>
      <c r="E29" t="inlineStr">
        <is>
          <t>Completed</t>
        </is>
      </c>
      <c r="F29" t="inlineStr">
        <is>
          <t>2026-07-08</t>
        </is>
      </c>
      <c r="G29" s="5"/>
      <c r="H29" t="inlineStr">
        <is>
          <t>https://github.com/breakingthebot/github-dashboard-react-query</t>
        </is>
      </c>
      <c r="I29" t="inlineStr">
        <is>
          <t>Depth: Deep | Every fetch goes through useQuery instead of a hand-rolled useEffect+fetch, giving real caching, a distinct loading-vs-refetching state, and structured error handling for free. Pagination reads GitHub's real Link response header instead of guessing from the current page number. The repo detail route (react-router-dom) fires three independent queries in parallel (details, languages, commits) so one slow or failed query never blocks the rest of the page. Deployed to Vercel with a vercel.json SPA rewrite so deep-linked detail routes survive a refresh.</t>
        </is>
      </c>
    </row>
    <row r="30" spans="1:9" ht="30" customHeight="1" x14ac:dyDescent="0.25">
      <c r="A30" s="3">
        <v>29</v>
      </c>
      <c r="B30" s="4" t="s">
        <v>59</v>
      </c>
      <c r="C30" s="5" t="s">
        <v>68</v>
      </c>
      <c r="D30" s="5" t="s">
        <v>69</v>
      </c>
      <c r="E30" t="inlineStr">
        <is>
          <t>Completed</t>
        </is>
      </c>
      <c r="F30" t="inlineStr">
        <is>
          <t>2026-07-11</t>
        </is>
      </c>
      <c r="G30" s="5"/>
      <c r="H30" t="inlineStr">
        <is>
          <t>https://github.com/breakingthebot/nextjs-blog-platform</t>
        </is>
      </c>
      <c r="I30" t="inlineStr">
        <is>
          <t>Depth: Deep | Postgres-backed comments (Neon serverless driver) with per-IP rate limiting (hashed IPs, 5 writes/10min), self-service comment deletion via hashed delete tokens, and an admin override checked with a constant-time comparison. Optimistic comment submission via useOptimistic/useTransition. Post tags with a statically generated /tags/[tag] route (not a query param, to preserve SSG). GitHub Actions CI and component tests with jsdom.</t>
        </is>
      </c>
    </row>
    <row r="31" spans="1:9" ht="30" customHeight="1" x14ac:dyDescent="0.25">
      <c r="A31" s="3">
        <v>30</v>
      </c>
      <c r="B31" s="4" t="s">
        <v>59</v>
      </c>
      <c r="C31" s="5" t="s">
        <v>70</v>
      </c>
      <c r="D31" s="5" t="s">
        <v>71</v>
      </c>
      <c r="E31" t="inlineStr">
        <is>
          <t>Completed</t>
        </is>
      </c>
      <c r="F31" t="inlineStr">
        <is>
          <t>2026-07-11</t>
        </is>
      </c>
      <c r="G31" s="5"/>
      <c r="H31" t="inlineStr">
        <is>
          <t>https://github.com/breakingthebot/remix-todo-build30</t>
        </is>
      </c>
      <c r="I31" t="inlineStr">
        <is>
          <t>Depth: Deep | Nested routes for viewing/editing a single todo, each with its own loader/action and 404 handling. Optimistic UI on toggle/delete via useFetcher on both the list and detail routes. Data layer swapped from a hand-rolled JSON file to SQLite (better-sqlite3) without changing any exported function signatures, so no route or test code needed to change. GitHub Actions CI plus a Playwright smoke test.</t>
        </is>
      </c>
    </row>
    <row r="32" spans="1:9" ht="30" customHeight="1" x14ac:dyDescent="0.25">
      <c r="A32" s="3">
        <v>31</v>
      </c>
      <c r="B32" s="4" t="s">
        <v>59</v>
      </c>
      <c r="C32" s="5" t="s">
        <v>72</v>
      </c>
      <c r="D32" s="5" t="s">
        <v>73</v>
      </c>
      <c r="E32" t="inlineStr">
        <is>
          <t>Completed</t>
        </is>
      </c>
      <c r="F32" t="inlineStr">
        <is>
          <t>2026-07-13</t>
        </is>
      </c>
      <c r="G32" s="5"/>
      <c r="H32" t="inlineStr">
        <is>
          <t>https://github.com/breakingthebot/expense-tracker-build31</t>
        </is>
      </c>
      <c r="I32" t="inlineStr">
        <is>
          <t>Depth: Expanded | Iteration 1: Expense model with validation, an AsyncStorage-backed local storage service, and a single-screen Add Expense form plus list, with delete. Amounts stored as integer cents so future totals (e.g. a monthly chart) sum exactly. 15 Jest tests cover validation and storage CRUD.</t>
        </is>
      </c>
    </row>
    <row r="33" spans="1:9" ht="30" customHeight="1" x14ac:dyDescent="0.25">
      <c r="A33" s="3">
        <v>32</v>
      </c>
      <c r="B33" s="4" t="s">
        <v>74</v>
      </c>
      <c r="C33" s="5" t="s">
        <v>75</v>
      </c>
      <c r="D33" s="5" t="s">
        <v>76</v>
      </c>
      <c r="E33" t="inlineStr">
        <is>
          <t>Completed</t>
        </is>
      </c>
      <c r="F33" t="inlineStr">
        <is>
          <t>2026-07-20</t>
        </is>
      </c>
      <c r="G33" s="5"/>
      <c r="H33" t="inlineStr">
        <is>
          <t>https://github.com/breakingthebot/syllabus-viewer-build32</t>
        </is>
      </c>
      <c r="I33" t="inlineStr">
        <is>
          <t>Depth: Deep | Features raw JSON payload uploading, schema structure validations, required reading checkbox checks, and dark theme variables toggle.</t>
        </is>
      </c>
    </row>
    <row r="34" spans="1:9" ht="30" customHeight="1" x14ac:dyDescent="0.25">
      <c r="A34" s="3">
        <v>33</v>
      </c>
      <c r="B34" s="4" t="s">
        <v>74</v>
      </c>
      <c r="C34" s="5" t="s">
        <v>77</v>
      </c>
      <c r="D34" s="5" t="s">
        <v>78</v>
      </c>
      <c r="E34" t="inlineStr">
        <is>
          <t>Completed</t>
        </is>
      </c>
      <c r="F34" t="inlineStr">
        <is>
          <t>2026-07-20</t>
        </is>
      </c>
      <c r="G34" s="5"/>
      <c r="H34" t="inlineStr">
        <is>
          <t>https://github.com/breakingthebot/admin-panel-build33</t>
        </is>
      </c>
      <c r="I34" t="inlineStr">
        <is>
          <t>Depth: Deep | Includes client-side auth state simulation, route protection guards, breadcrumbs state selectors, and lazy-loaded child route sub-bundles.</t>
        </is>
      </c>
    </row>
    <row r="35" spans="1:9" ht="30" customHeight="1" x14ac:dyDescent="0.25">
      <c r="A35" s="3">
        <v>34</v>
      </c>
      <c r="B35" s="4" t="s">
        <v>74</v>
      </c>
      <c r="C35" s="5" t="s">
        <v>79</v>
      </c>
      <c r="D35" s="5" t="s">
        <v>80</v>
      </c>
      <c r="E35" t="inlineStr">
        <is>
          <t>Completed</t>
        </is>
      </c>
      <c r="F35" t="inlineStr">
        <is>
          <t>2026-07-20</t>
        </is>
      </c>
      <c r="G35" s="5"/>
      <c r="H35" t="inlineStr">
        <is>
          <t>https://github.com/breakingthebot/realtime-search-rxjs</t>
        </is>
      </c>
      <c r="I35" t="inlineStr">
        <is>
          <t>Depth: Deep | Features debounced search, memory caching, error boundary resilience, combineLatest state filters, local storage search history suggestion blurs, and infinite scrolling IntersectionObserver paging.</t>
        </is>
      </c>
    </row>
    <row r="36" spans="1:9" ht="30" customHeight="1" x14ac:dyDescent="0.25">
      <c r="A36" s="3">
        <v>35</v>
      </c>
      <c r="B36" s="4" t="s">
        <v>74</v>
      </c>
      <c r="C36" s="5" t="s">
        <v>81</v>
      </c>
      <c r="D36" s="5" t="s">
        <v>82</v>
      </c>
      <c r="E36" t="inlineStr">
        <is>
          <t>Completed</t>
        </is>
      </c>
      <c r="F36" t="inlineStr">
        <is>
          <t>2026-07-20</t>
        </is>
      </c>
      <c r="G36" s="5"/>
      <c r="H36" t="inlineStr">
        <is>
          <t>https://github.com/breakingthebot/angular-material-dashboard</t>
        </is>
      </c>
      <c r="I36" t="inlineStr">
        <is>
          <t>Depth: Deep | Premium administrative layouts featuring status counters, sorting search data tables, responsive charts, and input forms using full Angular Material component models.</t>
        </is>
      </c>
    </row>
    <row r="37" spans="1:9" ht="30" customHeight="1" x14ac:dyDescent="0.25">
      <c r="A37" s="3">
        <v>36</v>
      </c>
      <c r="B37" s="4" t="s">
        <v>74</v>
      </c>
      <c r="C37" s="5" t="s">
        <v>83</v>
      </c>
      <c r="D37" s="5" t="s">
        <v>84</v>
      </c>
      <c r="E37" t="inlineStr">
        <is>
          <t>Completed</t>
        </is>
      </c>
      <c r="F37" t="inlineStr">
        <is>
          <t>2026-07-21</t>
        </is>
      </c>
      <c r="G37" s="5"/>
      <c r="H37" t="inlineStr">
        <is>
          <t>https://github.com/breakingthebot/angular-ngrx-store-ecommerce</t>
        </is>
      </c>
      <c r="I37" t="inlineStr">
        <is>
          <t>Depth: Deep | Features NgRx Store, Effects, Selectors, LocalStorage MetaReducer hydration, wishlist drawer grids, checkout step wizards, and Star Rating badges.</t>
        </is>
      </c>
    </row>
    <row r="38" spans="1:9" ht="30" customHeight="1" x14ac:dyDescent="0.25">
      <c r="A38" s="3">
        <v>37</v>
      </c>
      <c r="B38" s="4" t="s">
        <v>74</v>
      </c>
      <c r="C38" s="5" t="s">
        <v>85</v>
      </c>
      <c r="D38" s="5" t="s">
        <v>86</v>
      </c>
      <c r="E38" t="inlineStr">
        <is>
          <t>Completed</t>
        </is>
      </c>
      <c r="F38" t="inlineStr">
        <is>
          <t>2026-07-23</t>
        </is>
      </c>
      <c r="G38" s="5"/>
      <c r="H38" t="inlineStr">
        <is>
          <t>https://github.com/breakingthebot/pulsefit-tracker</t>
        </is>
      </c>
      <c r="I38" t="inlineStr">
        <is>
          <t>Depth: Deep | Configured standard PWA webmanifest configurations, offline Service Workers, expandable daily settings, SVG circular progress rings, rising hydration wave overlays, and vertical statistics graphs.</t>
        </is>
      </c>
    </row>
    <row r="39" spans="1:9" ht="30" customHeight="1" x14ac:dyDescent="0.25">
      <c r="A39" s="3">
        <v>38</v>
      </c>
      <c r="B39" s="4" t="s">
        <v>87</v>
      </c>
      <c r="C39" s="5" t="s">
        <v>88</v>
      </c>
      <c r="D39" s="5" t="s">
        <v>89</v>
      </c>
      <c r="E39" t="inlineStr">
        <is>
          <t>Completed</t>
        </is>
      </c>
      <c r="F39" t="inlineStr">
        <is>
          <t>2026-07-23</t>
        </is>
      </c>
      <c r="G39" s="5"/>
      <c r="H39" t="inlineStr">
        <is>
          <t>https://github.com/breakingthebot/movie-watchlist-vue</t>
        </is>
      </c>
      <c r="I39" s="5"/>
    </row>
    <row r="40" spans="1:9" ht="30" customHeight="1" x14ac:dyDescent="0.25">
      <c r="A40" s="3">
        <v>39</v>
      </c>
      <c r="B40" s="4" t="s">
        <v>87</v>
      </c>
      <c r="C40" s="5" t="s">
        <v>90</v>
      </c>
      <c r="D40" s="5" t="s">
        <v>91</v>
      </c>
      <c r="E40" s="3" t="inlineStr">
        <is>
          <t>Completed</t>
        </is>
      </c>
      <c r="F40" s="3" t="inlineStr">
        <is>
          <t>2026-07-25</t>
        </is>
      </c>
      <c r="G40" s="5"/>
      <c r="H40" s="5" t="inlineStr">
        <is>
          <t>https://github.com/breakingthebot/travel-blog-router-build39</t>
        </is>
      </c>
      <c r="I40" s="5" t="inlineStr">
        <is>
          <t>Depth: Standard | Vercel: https://travel-blog-router-build39.vercel.app</t>
        </is>
      </c>
    </row>
    <row r="41" spans="1:9" ht="30" customHeight="1" x14ac:dyDescent="0.25">
      <c r="A41" s="3">
        <v>40</v>
      </c>
      <c r="B41" s="4" t="s">
        <v>87</v>
      </c>
      <c r="C41" s="5" t="s">
        <v>92</v>
      </c>
      <c r="D41" s="5" t="s">
        <v>93</v>
      </c>
      <c r="E41" s="3" t="inlineStr">
        <is>
          <t>Completed</t>
        </is>
      </c>
      <c r="F41" s="3" t="inlineStr">
        <is>
          <t>2026-07-25</t>
        </is>
      </c>
      <c r="G41" s="5"/>
      <c r="H41" s="5" t="inlineStr">
        <is>
          <t>https://github.com/breakingthebot/task-manager-pinia-build40</t>
        </is>
      </c>
      <c r="I41" s="5" t="inlineStr">
        <is>
          <t>Depth: Expanded | Vercel: https://task-manager-pinia-build40.vercel.app</t>
        </is>
      </c>
    </row>
    <row r="42" spans="1:9" ht="30" customHeight="1" x14ac:dyDescent="0.25">
      <c r="A42" s="3">
        <v>41</v>
      </c>
      <c r="B42" s="4" t="s">
        <v>87</v>
      </c>
      <c r="C42" s="5" t="s">
        <v>94</v>
      </c>
      <c r="D42" s="5" t="s">
        <v>95</v>
      </c>
      <c r="E42" s="3" t="inlineStr">
        <is>
          <t>Completed</t>
        </is>
      </c>
      <c r="F42" s="3" t="inlineStr">
        <is>
          <t>2026-07-25</t>
        </is>
      </c>
      <c r="G42" s="5"/>
      <c r="H42" s="5" t="inlineStr">
        <is>
          <t>https://github.com/breakingthebot/gourmetpulse-recipe-build41</t>
        </is>
      </c>
      <c r="I42" s="5" t="inlineStr">
        <is>
          <t>Depth: Standard | Vercel: https://gourmetpulse-recipe-build41.vercel.app</t>
        </is>
      </c>
    </row>
    <row r="43" spans="1:9" ht="30" customHeight="1" x14ac:dyDescent="0.25">
      <c r="A43" s="3">
        <v>42</v>
      </c>
      <c r="B43" s="4" t="s">
        <v>96</v>
      </c>
      <c r="C43" s="5" t="s">
        <v>97</v>
      </c>
      <c r="D43" s="5" t="s">
        <v>98</v>
      </c>
      <c r="E43" s="3" t="inlineStr">
        <is>
          <t>Completed</t>
        </is>
      </c>
      <c r="F43" s="3" t="inlineStr">
        <is>
          <t>2026-07-25</t>
        </is>
      </c>
      <c r="G43" s="5"/>
      <c r="H43" s="5" t="inlineStr">
        <is>
          <t>https://github.com/breakingthebot/word-counter-build42</t>
        </is>
      </c>
      <c r="I43" s="5" t="inlineStr">
        <is>
          <t>Depth: Deep | Vercel: https://word-counter-build42.vercel.app</t>
        </is>
      </c>
    </row>
    <row r="44" spans="1:9" ht="30" customHeight="1" x14ac:dyDescent="0.25">
      <c r="A44" s="3">
        <v>43</v>
      </c>
      <c r="B44" s="4" t="s">
        <v>96</v>
      </c>
      <c r="C44" s="5" t="s">
        <v>99</v>
      </c>
      <c r="D44" s="5" t="s">
        <v>100</v>
      </c>
      <c r="E44" s="3" t="inlineStr">
        <is>
          <t>Completed</t>
        </is>
      </c>
      <c r="F44" s="3" t="inlineStr">
        <is>
          <t>2026-07-26</t>
        </is>
      </c>
      <c r="G44" s="5"/>
      <c r="H44" s="5" t="inlineStr">
        <is>
          <t>https://github.com/breakingthebot/sveltekit-notes-build43</t>
        </is>
      </c>
      <c r="I44" s="5" t="inlineStr">
        <is>
          <t>Depth: Deep | Vercel: https://sveltekit-notes-build43.vercel.app</t>
        </is>
      </c>
    </row>
    <row r="45" spans="1:9" ht="30" customHeight="1" x14ac:dyDescent="0.25">
      <c r="A45" s="3">
        <v>44</v>
      </c>
      <c r="B45" s="4" t="s">
        <v>96</v>
      </c>
      <c r="C45" s="5" t="s">
        <v>101</v>
      </c>
      <c r="D45" s="5" t="s">
        <v>102</v>
      </c>
      <c r="E45" s="3" t="inlineStr">
        <is>
          <t>Completed</t>
        </is>
      </c>
      <c r="F45" s="3" t="inlineStr">
        <is>
          <t>2026-07-26</t>
        </is>
      </c>
      <c r="G45" s="5"/>
      <c r="H45" s="5" t="inlineStr">
        <is>
          <t>https://github.com/breakingthebot/solidjs-clock-dashboard-build44</t>
        </is>
      </c>
      <c r="I45" s="5" t="inlineStr">
        <is>
          <t>Depth: Deep | Vercel: https://solidjs-clock-dashboard-build44.vercel.app</t>
        </is>
      </c>
    </row>
    <row r="46" spans="1:9" ht="30" customHeight="1" x14ac:dyDescent="0.25">
      <c r="A46" s="3">
        <v>45</v>
      </c>
      <c r="B46" s="4" t="s">
        <v>96</v>
      </c>
      <c r="C46" s="5" t="s">
        <v>103</v>
      </c>
      <c r="D46" s="5" t="s">
        <v>104</v>
      </c>
      <c r="E46" s="3" t="inlineStr">
        <is>
          <t>Completed</t>
        </is>
      </c>
      <c r="F46" s="3" t="inlineStr">
        <is>
          <t>2026-07-28</t>
        </is>
      </c>
      <c r="G46" s="5"/>
      <c r="H46" s="5" t="inlineStr">
        <is>
          <t>https://github.com/breakingthebot/astro-docs-site-build45</t>
        </is>
      </c>
      <c r="I46" s="5" t="inlineStr">
        <is>
          <t>Depth: Deep</t>
        </is>
      </c>
    </row>
    <row r="47" spans="1:9" ht="30" customHeight="1" x14ac:dyDescent="0.25">
      <c r="A47" s="3">
        <v>46</v>
      </c>
      <c r="B47" s="4" t="s">
        <v>96</v>
      </c>
      <c r="C47" s="5" t="s">
        <v>105</v>
      </c>
      <c r="D47" s="5" t="s">
        <v>106</v>
      </c>
      <c r="E47" s="3" t="inlineStr">
        <is>
          <t>Completed</t>
        </is>
      </c>
      <c r="F47" s="3" t="inlineStr">
        <is>
          <t>2026-07-28</t>
        </is>
      </c>
      <c r="G47" s="5"/>
      <c r="H47" s="5" t="inlineStr">
        <is>
          <t>https://github.com/breakingthebot/htmx-contact-manager-build46</t>
        </is>
      </c>
      <c r="I47" s="5" t="inlineStr">
        <is>
          <t>Depth: Deep | Vercel: https://htmx-contact-manager-build46.vercel.app</t>
        </is>
      </c>
    </row>
    <row r="48" spans="1:9" ht="30" customHeight="1" x14ac:dyDescent="0.25">
      <c r="A48" s="3">
        <v>47</v>
      </c>
      <c r="B48" s="4" t="s">
        <v>96</v>
      </c>
      <c r="C48" s="5" t="s">
        <v>107</v>
      </c>
      <c r="D48" s="5" t="s">
        <v>108</v>
      </c>
      <c r="E48" s="3" t="inlineStr">
        <is>
          <t>Completed</t>
        </is>
      </c>
      <c r="F48" s="3" t="inlineStr">
        <is>
          <t>2026-07-28</t>
        </is>
      </c>
      <c r="G48" s="5"/>
      <c r="H48" s="5" t="inlineStr">
        <is>
          <t>https://github.com/breakingthebot/alpinejs-interactive-faq-build47</t>
        </is>
      </c>
      <c r="I48" s="5" t="inlineStr">
        <is>
          <t>Depth: Deep | Vercel: https://alpinejs-interactive-faq-build47.vercel.app</t>
        </is>
      </c>
    </row>
    <row r="49" spans="1:9" ht="30" customHeight="1" x14ac:dyDescent="0.25">
      <c r="A49" s="3">
        <v>48</v>
      </c>
      <c r="B49" s="4" t="s">
        <v>96</v>
      </c>
      <c r="C49" s="5" t="s">
        <v>109</v>
      </c>
      <c r="D49" s="5" t="s">
        <v>110</v>
      </c>
      <c r="E49" s="3" t="inlineStr">
        <is>
          <t>Completed</t>
        </is>
      </c>
      <c r="F49" s="3" t="inlineStr">
        <is>
          <t>2026-07-28</t>
        </is>
      </c>
      <c r="G49" s="5"/>
      <c r="H49" s="5" t="inlineStr">
        <is>
          <t>https://github.com/breakingthebot/lit-reusable-date-picker-build48</t>
        </is>
      </c>
      <c r="I49" s="5" t="inlineStr">
        <is>
          <t>Depth: Deep | Vercel: https://lit-reusable-date-picker-build48.vercel.app</t>
        </is>
      </c>
    </row>
    <row r="50" spans="1:9" ht="30" customHeight="1" x14ac:dyDescent="0.25">
      <c r="A50" s="3">
        <v>49</v>
      </c>
      <c r="B50" s="4" t="s">
        <v>96</v>
      </c>
      <c r="C50" s="5" t="s">
        <v>111</v>
      </c>
      <c r="D50" s="5" t="s">
        <v>112</v>
      </c>
      <c r="E50" s="3" t="inlineStr">
        <is>
          <t>Completed</t>
        </is>
      </c>
      <c r="F50" s="3" t="inlineStr">
        <is>
          <t>2026-07-29</t>
        </is>
      </c>
      <c r="G50" s="5"/>
      <c r="H50" s="5" t="inlineStr">
        <is>
          <t>https://github.com/breakingthebot/qwik-ecommerce-product-page-build49</t>
        </is>
      </c>
      <c r="I50" s="5" t="inlineStr">
        <is>
          <t>Depth: Deep | Vercel: https://qwik-ecommerce-product-page-build49.vercel.app</t>
        </is>
      </c>
    </row>
    <row r="51" spans="1:9" ht="30" customHeight="1" x14ac:dyDescent="0.25">
      <c r="A51" s="3">
        <v>50</v>
      </c>
      <c r="B51" s="4" t="s">
        <v>113</v>
      </c>
      <c r="C51" s="5" t="s">
        <v>114</v>
      </c>
      <c r="D51" s="5" t="s">
        <v>115</v>
      </c>
      <c r="E51" s="3" t="inlineStr">
        <is>
          <t>Completed</t>
        </is>
      </c>
      <c r="F51" s="3" t="inlineStr">
        <is>
          <t>2026-07-29</t>
        </is>
      </c>
      <c r="G51" s="5"/>
      <c r="H51" s="5" t="inlineStr">
        <is>
          <t>https://github.com/breakingthebot/pure-css-landing-page-build50</t>
        </is>
      </c>
      <c r="I51" s="5" t="inlineStr">
        <is>
          <t>Depth: Deep | Vercel: https://pure-css-landing-page-build50.vercel.app</t>
        </is>
      </c>
    </row>
    <row r="52" spans="1:9" ht="30" customHeight="1" x14ac:dyDescent="0.25">
      <c r="A52" s="3">
        <v>51</v>
      </c>
      <c r="B52" s="4" t="s">
        <v>113</v>
      </c>
      <c r="C52" s="5" t="s">
        <v>116</v>
      </c>
      <c r="D52" s="5" t="s">
        <v>117</v>
      </c>
      <c r="E52" s="3" t="inlineStr">
        <is>
          <t>Completed</t>
        </is>
      </c>
      <c r="F52" s="3" t="inlineStr">
        <is>
          <t>2026-07-30</t>
        </is>
      </c>
      <c r="G52" s="5"/>
      <c r="H52" s="5" t="inlineStr">
        <is>
          <t>https://github.com/breakingthebot/sass-scss-design-system-build51</t>
        </is>
      </c>
      <c r="I52" s="5" t="inlineStr">
        <is>
          <t>Depth: Deep | Vercel: https://sass-scss-design-system-build51.vercel.app</t>
        </is>
      </c>
    </row>
    <row r="53" spans="1:9" ht="30" customHeight="1" x14ac:dyDescent="0.25">
      <c r="A53" s="3">
        <v>52</v>
      </c>
      <c r="B53" s="4" t="s">
        <v>113</v>
      </c>
      <c r="C53" s="5" t="s">
        <v>118</v>
      </c>
      <c r="D53" s="5" t="s">
        <v>119</v>
      </c>
      <c r="E53" s="3" t="inlineStr">
        <is>
          <t>Completed</t>
        </is>
      </c>
      <c r="F53" s="3" t="inlineStr">
        <is>
          <t>2026-07-30</t>
        </is>
      </c>
      <c r="G53" s="5"/>
      <c r="H53" s="5" t="inlineStr">
        <is>
          <t>https://github.com/breakingthebot/tailwind-admin-dashboard-build52</t>
        </is>
      </c>
      <c r="I53" s="5" t="inlineStr">
        <is>
          <t>Depth: Deep | Vercel: https://tailwind-admin-dashboard-build52.vercel.app</t>
        </is>
      </c>
    </row>
    <row r="54" spans="1:9" ht="30" customHeight="1" x14ac:dyDescent="0.25">
      <c r="A54" s="3">
        <v>53</v>
      </c>
      <c r="B54" s="4" t="s">
        <v>113</v>
      </c>
      <c r="C54" s="5" t="s">
        <v>120</v>
      </c>
      <c r="D54" s="5" t="s">
        <v>121</v>
      </c>
      <c r="E54" s="3" t="inlineStr">
        <is>
          <t>Completed</t>
        </is>
      </c>
      <c r="F54" s="3" t="inlineStr">
        <is>
          <t>2026-07-30</t>
        </is>
      </c>
      <c r="G54" s="5"/>
      <c r="H54" s="5" t="inlineStr">
        <is>
          <t>https://github.com/breakingthebot/react-css-modules-library-build53</t>
        </is>
      </c>
      <c r="I54" s="5" t="inlineStr">
        <is>
          <t>Depth: Deep | Vercel: https://react-css-modules-library-build53.vercel.app</t>
        </is>
      </c>
    </row>
    <row r="55" spans="1:9" ht="30" customHeight="1" x14ac:dyDescent="0.25">
      <c r="A55" s="3">
        <v>54</v>
      </c>
      <c r="B55" s="4" t="s">
        <v>113</v>
      </c>
      <c r="C55" s="5" t="s">
        <v>122</v>
      </c>
      <c r="D55" s="5" t="s">
        <v>123</v>
      </c>
      <c r="E55" s="3" t="inlineStr">
        <is>
          <t>Completed</t>
        </is>
      </c>
      <c r="F55" s="3" t="inlineStr">
        <is>
          <t>2026-07-31</t>
        </is>
      </c>
      <c r="G55" s="5"/>
      <c r="H55" s="5" t="inlineStr">
        <is>
          <t>https://github.com/breakingthebot/styled-components-theme-uikit-build54</t>
        </is>
      </c>
      <c r="I55" s="5" t="inlineStr">
        <is>
          <t>Depth: Deep | Vercel: https://styled-components-theme-uikit-build54.vercel.app</t>
        </is>
      </c>
    </row>
    <row r="56" spans="1:9" ht="30" customHeight="1" x14ac:dyDescent="0.25">
      <c r="A56" s="3">
        <v>55</v>
      </c>
      <c r="B56" s="4" t="s">
        <v>113</v>
      </c>
      <c r="C56" s="5" t="s">
        <v>124</v>
      </c>
      <c r="D56" s="5" t="s">
        <v>125</v>
      </c>
      <c r="E56" s="3" t="s">
        <v>12</v>
      </c>
      <c r="F56" s="3"/>
      <c r="G56" s="5"/>
      <c r="H56" s="5"/>
      <c r="I56" s="5"/>
    </row>
    <row r="57" spans="1:9" ht="30" customHeight="1" x14ac:dyDescent="0.25">
      <c r="A57" s="3">
        <v>56</v>
      </c>
      <c r="B57" s="4" t="s">
        <v>113</v>
      </c>
      <c r="C57" s="5" t="s">
        <v>126</v>
      </c>
      <c r="D57" s="5" t="s">
        <v>127</v>
      </c>
      <c r="E57" s="3" t="s">
        <v>12</v>
      </c>
      <c r="F57" s="3"/>
      <c r="G57" s="5"/>
      <c r="H57" s="5"/>
      <c r="I57" s="5"/>
    </row>
    <row r="58" spans="1:9" ht="30" customHeight="1" x14ac:dyDescent="0.25">
      <c r="A58" s="3">
        <v>57</v>
      </c>
      <c r="B58" s="4" t="s">
        <v>113</v>
      </c>
      <c r="C58" s="5" t="s">
        <v>128</v>
      </c>
      <c r="D58" s="5" t="s">
        <v>129</v>
      </c>
      <c r="E58" s="3" t="s">
        <v>12</v>
      </c>
      <c r="F58" s="3"/>
      <c r="G58" s="5"/>
      <c r="H58" s="5"/>
      <c r="I58" s="5"/>
    </row>
    <row r="59" spans="1:9" ht="30" customHeight="1" x14ac:dyDescent="0.25">
      <c r="A59" s="3">
        <v>58</v>
      </c>
      <c r="B59" s="4" t="s">
        <v>130</v>
      </c>
      <c r="C59" s="5" t="s">
        <v>131</v>
      </c>
      <c r="D59" s="5" t="s">
        <v>132</v>
      </c>
      <c r="E59" s="3" t="s">
        <v>12</v>
      </c>
      <c r="F59" s="3"/>
      <c r="G59" s="5"/>
      <c r="H59" s="5"/>
      <c r="I59" s="5"/>
    </row>
    <row r="60" spans="1:9" ht="30" customHeight="1" x14ac:dyDescent="0.25">
      <c r="A60" s="3">
        <v>59</v>
      </c>
      <c r="B60" s="4" t="s">
        <v>130</v>
      </c>
      <c r="C60" s="5" t="s">
        <v>133</v>
      </c>
      <c r="D60" s="5" t="s">
        <v>134</v>
      </c>
      <c r="E60" s="3" t="s">
        <v>12</v>
      </c>
      <c r="F60" s="3"/>
      <c r="G60" s="5"/>
      <c r="H60" s="5"/>
      <c r="I60" s="5"/>
    </row>
    <row r="61" spans="1:9" ht="30" customHeight="1" x14ac:dyDescent="0.25">
      <c r="A61" s="3">
        <v>60</v>
      </c>
      <c r="B61" s="4" t="s">
        <v>130</v>
      </c>
      <c r="C61" s="5" t="s">
        <v>135</v>
      </c>
      <c r="D61" s="5" t="s">
        <v>136</v>
      </c>
      <c r="E61" s="3" t="s">
        <v>12</v>
      </c>
      <c r="F61" s="3"/>
      <c r="G61" s="5"/>
      <c r="H61" s="5"/>
      <c r="I61" s="5"/>
    </row>
    <row r="62" spans="1:9" ht="30" customHeight="1" x14ac:dyDescent="0.25">
      <c r="A62" s="3">
        <v>61</v>
      </c>
      <c r="B62" s="4" t="s">
        <v>130</v>
      </c>
      <c r="C62" s="5" t="s">
        <v>137</v>
      </c>
      <c r="D62" s="5" t="s">
        <v>138</v>
      </c>
      <c r="E62" s="3" t="s">
        <v>12</v>
      </c>
      <c r="F62" s="3"/>
      <c r="G62" s="5"/>
      <c r="H62" s="5"/>
      <c r="I62" s="5"/>
    </row>
    <row r="63" spans="1:9" ht="30" customHeight="1" x14ac:dyDescent="0.25">
      <c r="A63" s="3">
        <v>62</v>
      </c>
      <c r="B63" s="4" t="s">
        <v>139</v>
      </c>
      <c r="C63" s="5" t="s">
        <v>140</v>
      </c>
      <c r="D63" s="5" t="s">
        <v>141</v>
      </c>
      <c r="E63" s="3" t="s">
        <v>12</v>
      </c>
      <c r="F63" s="3"/>
      <c r="G63" s="5"/>
      <c r="H63" s="5"/>
      <c r="I63" s="5"/>
    </row>
    <row r="64" spans="1:9" ht="30" customHeight="1" x14ac:dyDescent="0.25">
      <c r="A64" s="3">
        <v>63</v>
      </c>
      <c r="B64" s="4" t="s">
        <v>139</v>
      </c>
      <c r="C64" s="5" t="s">
        <v>142</v>
      </c>
      <c r="D64" s="5" t="s">
        <v>143</v>
      </c>
      <c r="E64" s="3" t="s">
        <v>12</v>
      </c>
      <c r="F64" s="3"/>
      <c r="G64" s="5"/>
      <c r="H64" s="5"/>
      <c r="I64" s="5"/>
    </row>
    <row r="65" spans="1:9" ht="30" customHeight="1" x14ac:dyDescent="0.25">
      <c r="A65" s="3">
        <v>64</v>
      </c>
      <c r="B65" s="4" t="s">
        <v>139</v>
      </c>
      <c r="C65" s="5" t="s">
        <v>144</v>
      </c>
      <c r="D65" s="5" t="s">
        <v>145</v>
      </c>
      <c r="E65" s="3" t="s">
        <v>12</v>
      </c>
      <c r="F65" s="3"/>
      <c r="G65" s="5"/>
      <c r="H65" s="5"/>
      <c r="I65" s="5"/>
    </row>
    <row r="66" spans="1:9" ht="30" customHeight="1" x14ac:dyDescent="0.25">
      <c r="A66" s="3">
        <v>65</v>
      </c>
      <c r="B66" s="4" t="s">
        <v>139</v>
      </c>
      <c r="C66" s="5" t="s">
        <v>146</v>
      </c>
      <c r="D66" s="5" t="s">
        <v>147</v>
      </c>
      <c r="E66" s="3" t="s">
        <v>12</v>
      </c>
      <c r="F66" s="3"/>
      <c r="G66" s="5"/>
      <c r="H66" s="5"/>
      <c r="I66" s="5"/>
    </row>
    <row r="67" spans="1:9" ht="30" customHeight="1" x14ac:dyDescent="0.25">
      <c r="A67" s="3">
        <v>66</v>
      </c>
      <c r="B67" s="4" t="s">
        <v>148</v>
      </c>
      <c r="C67" s="5" t="s">
        <v>149</v>
      </c>
      <c r="D67" s="5" t="s">
        <v>150</v>
      </c>
      <c r="E67" s="3" t="s">
        <v>12</v>
      </c>
      <c r="F67" s="3"/>
      <c r="G67" s="5"/>
      <c r="H67" s="5"/>
      <c r="I67" s="5"/>
    </row>
    <row r="68" spans="1:9" ht="30" customHeight="1" x14ac:dyDescent="0.25">
      <c r="A68" s="3">
        <v>67</v>
      </c>
      <c r="B68" s="4" t="s">
        <v>148</v>
      </c>
      <c r="C68" s="5" t="s">
        <v>151</v>
      </c>
      <c r="D68" s="5" t="s">
        <v>152</v>
      </c>
      <c r="E68" s="3" t="s">
        <v>12</v>
      </c>
      <c r="F68" s="3"/>
      <c r="G68" s="5"/>
      <c r="H68" s="5"/>
      <c r="I68" s="5"/>
    </row>
    <row r="69" spans="1:9" ht="30" customHeight="1" x14ac:dyDescent="0.25">
      <c r="A69" s="3">
        <v>68</v>
      </c>
      <c r="B69" s="4" t="s">
        <v>148</v>
      </c>
      <c r="C69" s="5" t="s">
        <v>153</v>
      </c>
      <c r="D69" s="5" t="s">
        <v>154</v>
      </c>
      <c r="E69" s="3" t="s">
        <v>12</v>
      </c>
      <c r="F69" s="3"/>
      <c r="G69" s="5"/>
      <c r="H69" s="5"/>
      <c r="I69" s="5"/>
    </row>
    <row r="70" spans="1:9" ht="30" customHeight="1" x14ac:dyDescent="0.25">
      <c r="A70" s="3">
        <v>69</v>
      </c>
      <c r="B70" s="4" t="s">
        <v>155</v>
      </c>
      <c r="C70" s="5" t="s">
        <v>156</v>
      </c>
      <c r="D70" s="5" t="s">
        <v>157</v>
      </c>
      <c r="E70" s="3" t="s">
        <v>12</v>
      </c>
      <c r="F70" s="3"/>
      <c r="G70" s="5"/>
      <c r="H70" s="5"/>
      <c r="I70" s="5"/>
    </row>
    <row r="71" spans="1:9" ht="30" customHeight="1" x14ac:dyDescent="0.25">
      <c r="A71" s="3">
        <v>70</v>
      </c>
      <c r="B71" s="4" t="s">
        <v>155</v>
      </c>
      <c r="C71" s="5" t="s">
        <v>158</v>
      </c>
      <c r="D71" s="5" t="s">
        <v>159</v>
      </c>
      <c r="E71" s="3" t="s">
        <v>12</v>
      </c>
      <c r="F71" s="3"/>
      <c r="G71" s="5"/>
      <c r="H71" s="5"/>
      <c r="I71" s="5"/>
    </row>
    <row r="72" spans="1:9" ht="30" customHeight="1" x14ac:dyDescent="0.25">
      <c r="A72" s="3">
        <v>71</v>
      </c>
      <c r="B72" s="4" t="s">
        <v>155</v>
      </c>
      <c r="C72" s="5" t="s">
        <v>160</v>
      </c>
      <c r="D72" s="5" t="s">
        <v>161</v>
      </c>
      <c r="E72" s="3" t="s">
        <v>12</v>
      </c>
      <c r="F72" s="3"/>
      <c r="G72" s="5"/>
      <c r="H72" s="5"/>
      <c r="I72" s="5"/>
    </row>
    <row r="73" spans="1:9" ht="30" customHeight="1" x14ac:dyDescent="0.25">
      <c r="A73" s="3">
        <v>72</v>
      </c>
      <c r="B73" s="4" t="s">
        <v>155</v>
      </c>
      <c r="C73" s="5" t="s">
        <v>162</v>
      </c>
      <c r="D73" s="5" t="s">
        <v>163</v>
      </c>
      <c r="E73" s="3" t="s">
        <v>12</v>
      </c>
      <c r="F73" s="3"/>
      <c r="G73" s="5"/>
      <c r="H73" s="5"/>
      <c r="I73" s="5"/>
    </row>
    <row r="74" spans="1:9" ht="30" customHeight="1" x14ac:dyDescent="0.25">
      <c r="A74" s="3">
        <v>73</v>
      </c>
      <c r="B74" s="4" t="s">
        <v>155</v>
      </c>
      <c r="C74" s="5" t="s">
        <v>164</v>
      </c>
      <c r="D74" s="5" t="s">
        <v>165</v>
      </c>
      <c r="E74" s="3" t="s">
        <v>12</v>
      </c>
      <c r="F74" s="3"/>
      <c r="G74" s="5"/>
      <c r="H74" s="5"/>
      <c r="I74" s="5"/>
    </row>
    <row r="75" spans="1:9" ht="30" customHeight="1" x14ac:dyDescent="0.25">
      <c r="A75" s="3">
        <v>74</v>
      </c>
      <c r="B75" s="4" t="s">
        <v>155</v>
      </c>
      <c r="C75" s="5" t="s">
        <v>166</v>
      </c>
      <c r="D75" s="5" t="s">
        <v>167</v>
      </c>
      <c r="E75" s="3" t="s">
        <v>12</v>
      </c>
      <c r="F75" s="3"/>
      <c r="G75" s="5"/>
      <c r="H75" s="5"/>
      <c r="I75" s="5"/>
    </row>
    <row r="76" spans="1:9" ht="30" customHeight="1" x14ac:dyDescent="0.25">
      <c r="A76" s="3">
        <v>75</v>
      </c>
      <c r="B76" s="4" t="s">
        <v>155</v>
      </c>
      <c r="C76" s="5" t="s">
        <v>168</v>
      </c>
      <c r="D76" s="5" t="s">
        <v>169</v>
      </c>
      <c r="E76" s="3" t="s">
        <v>12</v>
      </c>
      <c r="F76" s="3"/>
      <c r="G76" s="5"/>
      <c r="H76" s="5"/>
      <c r="I76" s="5"/>
    </row>
    <row r="77" spans="1:9" ht="30" customHeight="1" x14ac:dyDescent="0.25">
      <c r="A77" s="3">
        <v>76</v>
      </c>
      <c r="B77" s="4" t="s">
        <v>170</v>
      </c>
      <c r="C77" s="5" t="s">
        <v>171</v>
      </c>
      <c r="D77" s="5" t="s">
        <v>172</v>
      </c>
      <c r="E77" s="3" t="s">
        <v>12</v>
      </c>
      <c r="F77" s="3"/>
      <c r="G77" s="5"/>
      <c r="H77" s="5"/>
      <c r="I77" s="5"/>
    </row>
    <row r="78" spans="1:9" ht="30" customHeight="1" x14ac:dyDescent="0.25">
      <c r="A78" s="3">
        <v>77</v>
      </c>
      <c r="B78" s="4" t="s">
        <v>170</v>
      </c>
      <c r="C78" s="5" t="s">
        <v>173</v>
      </c>
      <c r="D78" s="5" t="s">
        <v>174</v>
      </c>
      <c r="E78" s="3" t="s">
        <v>12</v>
      </c>
      <c r="F78" s="3"/>
      <c r="G78" s="5"/>
      <c r="H78" s="5"/>
      <c r="I78" s="5"/>
    </row>
    <row r="79" spans="1:9" ht="30" customHeight="1" x14ac:dyDescent="0.25">
      <c r="A79" s="3">
        <v>78</v>
      </c>
      <c r="B79" s="4" t="s">
        <v>170</v>
      </c>
      <c r="C79" s="5" t="s">
        <v>175</v>
      </c>
      <c r="D79" s="5" t="s">
        <v>176</v>
      </c>
      <c r="E79" s="3" t="s">
        <v>12</v>
      </c>
      <c r="F79" s="3"/>
      <c r="G79" s="5"/>
      <c r="H79" s="5"/>
      <c r="I79" s="5"/>
    </row>
    <row r="80" spans="1:9" ht="30" customHeight="1" x14ac:dyDescent="0.25">
      <c r="A80" s="3">
        <v>79</v>
      </c>
      <c r="B80" s="4" t="s">
        <v>170</v>
      </c>
      <c r="C80" s="5" t="s">
        <v>177</v>
      </c>
      <c r="D80" s="5" t="s">
        <v>178</v>
      </c>
      <c r="E80" s="3" t="s">
        <v>12</v>
      </c>
      <c r="F80" s="3"/>
      <c r="G80" s="5"/>
      <c r="H80" s="5"/>
      <c r="I80" s="5"/>
    </row>
    <row r="81" spans="1:9" ht="30" customHeight="1" x14ac:dyDescent="0.25">
      <c r="A81" s="3">
        <v>80</v>
      </c>
      <c r="B81" s="4" t="s">
        <v>170</v>
      </c>
      <c r="C81" s="5" t="s">
        <v>179</v>
      </c>
      <c r="D81" s="5" t="s">
        <v>180</v>
      </c>
      <c r="E81" s="3" t="s">
        <v>12</v>
      </c>
      <c r="F81" s="3"/>
      <c r="G81" s="5"/>
      <c r="H81" s="5"/>
      <c r="I81" s="5"/>
    </row>
    <row r="82" spans="1:9" ht="30" customHeight="1" x14ac:dyDescent="0.25">
      <c r="A82" s="3">
        <v>81</v>
      </c>
      <c r="B82" s="4" t="s">
        <v>181</v>
      </c>
      <c r="C82" s="5" t="s">
        <v>182</v>
      </c>
      <c r="D82" s="5" t="s">
        <v>183</v>
      </c>
      <c r="E82" s="3" t="s">
        <v>12</v>
      </c>
      <c r="F82" s="3"/>
      <c r="G82" s="5"/>
      <c r="H82" s="5"/>
      <c r="I82" s="5"/>
    </row>
    <row r="83" spans="1:9" ht="30" customHeight="1" x14ac:dyDescent="0.25">
      <c r="A83" s="3">
        <v>82</v>
      </c>
      <c r="B83" s="4" t="s">
        <v>181</v>
      </c>
      <c r="C83" s="5" t="s">
        <v>184</v>
      </c>
      <c r="D83" s="5" t="s">
        <v>185</v>
      </c>
      <c r="E83" s="3" t="s">
        <v>12</v>
      </c>
      <c r="F83" s="3"/>
      <c r="G83" s="5"/>
      <c r="H83" s="5"/>
      <c r="I83" s="5"/>
    </row>
    <row r="84" spans="1:9" ht="30" customHeight="1" x14ac:dyDescent="0.25">
      <c r="A84" s="3">
        <v>83</v>
      </c>
      <c r="B84" s="4" t="s">
        <v>181</v>
      </c>
      <c r="C84" s="5" t="s">
        <v>186</v>
      </c>
      <c r="D84" s="5" t="s">
        <v>187</v>
      </c>
      <c r="E84" s="3" t="s">
        <v>12</v>
      </c>
      <c r="F84" s="3"/>
      <c r="G84" s="5"/>
      <c r="H84" s="5"/>
      <c r="I84" s="5"/>
    </row>
    <row r="85" spans="1:9" ht="30" customHeight="1" x14ac:dyDescent="0.25">
      <c r="A85" s="3">
        <v>84</v>
      </c>
      <c r="B85" s="4" t="s">
        <v>181</v>
      </c>
      <c r="C85" s="5" t="s">
        <v>188</v>
      </c>
      <c r="D85" s="5" t="s">
        <v>189</v>
      </c>
      <c r="E85" s="3" t="s">
        <v>12</v>
      </c>
      <c r="F85" s="3"/>
      <c r="G85" s="5"/>
      <c r="H85" s="5"/>
      <c r="I85" s="5"/>
    </row>
    <row r="86" spans="1:9" ht="30" customHeight="1" x14ac:dyDescent="0.25">
      <c r="A86" s="3">
        <v>85</v>
      </c>
      <c r="B86" s="4" t="s">
        <v>181</v>
      </c>
      <c r="C86" s="5" t="s">
        <v>190</v>
      </c>
      <c r="D86" s="5" t="s">
        <v>191</v>
      </c>
      <c r="E86" s="3" t="s">
        <v>12</v>
      </c>
      <c r="F86" s="3"/>
      <c r="G86" s="5"/>
      <c r="H86" s="5"/>
      <c r="I86" s="5"/>
    </row>
    <row r="87" spans="1:9" ht="30" customHeight="1" x14ac:dyDescent="0.25">
      <c r="A87" s="3">
        <v>86</v>
      </c>
      <c r="B87" s="4" t="s">
        <v>181</v>
      </c>
      <c r="C87" s="5" t="s">
        <v>192</v>
      </c>
      <c r="D87" s="5" t="s">
        <v>193</v>
      </c>
      <c r="E87" s="3" t="s">
        <v>12</v>
      </c>
      <c r="F87" s="3"/>
      <c r="G87" s="5"/>
      <c r="H87" s="5"/>
      <c r="I87" s="5"/>
    </row>
    <row r="88" spans="1:9" ht="30" customHeight="1" x14ac:dyDescent="0.25">
      <c r="A88" s="3">
        <v>87</v>
      </c>
      <c r="B88" s="4" t="s">
        <v>194</v>
      </c>
      <c r="C88" s="5" t="s">
        <v>195</v>
      </c>
      <c r="D88" s="5" t="s">
        <v>196</v>
      </c>
      <c r="E88" s="3" t="s">
        <v>12</v>
      </c>
      <c r="F88" s="3"/>
      <c r="G88" s="5"/>
      <c r="H88" s="5"/>
      <c r="I88" s="5"/>
    </row>
    <row r="89" spans="1:9" ht="30" customHeight="1" x14ac:dyDescent="0.25">
      <c r="A89" s="3">
        <v>88</v>
      </c>
      <c r="B89" s="4" t="s">
        <v>194</v>
      </c>
      <c r="C89" s="5" t="s">
        <v>197</v>
      </c>
      <c r="D89" s="5" t="s">
        <v>198</v>
      </c>
      <c r="E89" s="3" t="s">
        <v>12</v>
      </c>
      <c r="F89" s="3"/>
      <c r="G89" s="5"/>
      <c r="H89" s="5"/>
      <c r="I89" s="5"/>
    </row>
    <row r="90" spans="1:9" ht="30" customHeight="1" x14ac:dyDescent="0.25">
      <c r="A90" s="3">
        <v>89</v>
      </c>
      <c r="B90" s="4" t="s">
        <v>194</v>
      </c>
      <c r="C90" s="5" t="s">
        <v>199</v>
      </c>
      <c r="D90" s="5" t="s">
        <v>200</v>
      </c>
      <c r="E90" s="3" t="s">
        <v>12</v>
      </c>
      <c r="F90" s="3"/>
      <c r="G90" s="5"/>
      <c r="H90" s="5"/>
      <c r="I90" s="5"/>
    </row>
    <row r="91" spans="1:9" ht="30" customHeight="1" x14ac:dyDescent="0.25">
      <c r="A91" s="3">
        <v>90</v>
      </c>
      <c r="B91" s="4" t="s">
        <v>194</v>
      </c>
      <c r="C91" s="5" t="s">
        <v>201</v>
      </c>
      <c r="D91" s="5" t="s">
        <v>202</v>
      </c>
      <c r="E91" s="3" t="s">
        <v>12</v>
      </c>
      <c r="F91" s="3"/>
      <c r="G91" s="5"/>
      <c r="H91" s="5"/>
      <c r="I91" s="5"/>
    </row>
    <row r="92" spans="1:9" ht="30" customHeight="1" x14ac:dyDescent="0.25">
      <c r="A92" s="3">
        <v>91</v>
      </c>
      <c r="B92" s="4" t="s">
        <v>194</v>
      </c>
      <c r="C92" s="5" t="s">
        <v>203</v>
      </c>
      <c r="D92" s="5" t="s">
        <v>204</v>
      </c>
      <c r="E92" s="3" t="s">
        <v>12</v>
      </c>
      <c r="F92" s="3"/>
      <c r="G92" s="5"/>
      <c r="H92" s="5"/>
      <c r="I92" s="5"/>
    </row>
    <row r="93" spans="1:9" ht="30" customHeight="1" x14ac:dyDescent="0.25">
      <c r="A93" s="3">
        <v>92</v>
      </c>
      <c r="B93" s="4" t="s">
        <v>205</v>
      </c>
      <c r="C93" s="5" t="s">
        <v>206</v>
      </c>
      <c r="D93" s="5" t="s">
        <v>207</v>
      </c>
      <c r="E93" s="3" t="s">
        <v>12</v>
      </c>
      <c r="F93" s="3"/>
      <c r="G93" s="5"/>
      <c r="H93" s="5"/>
      <c r="I93" s="5"/>
    </row>
    <row r="94" spans="1:9" ht="30" customHeight="1" x14ac:dyDescent="0.25">
      <c r="A94" s="3">
        <v>93</v>
      </c>
      <c r="B94" s="4" t="s">
        <v>205</v>
      </c>
      <c r="C94" s="5" t="s">
        <v>208</v>
      </c>
      <c r="D94" s="5" t="s">
        <v>209</v>
      </c>
      <c r="E94" s="3" t="s">
        <v>12</v>
      </c>
      <c r="F94" s="3"/>
      <c r="G94" s="5"/>
      <c r="H94" s="5"/>
      <c r="I94" s="5"/>
    </row>
    <row r="95" spans="1:9" ht="30" customHeight="1" x14ac:dyDescent="0.25">
      <c r="A95" s="3">
        <v>94</v>
      </c>
      <c r="B95" s="4" t="s">
        <v>210</v>
      </c>
      <c r="C95" s="5" t="s">
        <v>211</v>
      </c>
      <c r="D95" s="5" t="s">
        <v>212</v>
      </c>
      <c r="E95" s="3" t="s">
        <v>12</v>
      </c>
      <c r="F95" s="3"/>
      <c r="G95" s="5"/>
      <c r="H95" s="5"/>
      <c r="I95" s="5"/>
    </row>
    <row r="96" spans="1:9" ht="30" customHeight="1" x14ac:dyDescent="0.25">
      <c r="A96" s="3">
        <v>95</v>
      </c>
      <c r="B96" s="4" t="s">
        <v>210</v>
      </c>
      <c r="C96" s="5" t="s">
        <v>213</v>
      </c>
      <c r="D96" s="5" t="s">
        <v>214</v>
      </c>
      <c r="E96" s="3" t="s">
        <v>12</v>
      </c>
      <c r="F96" s="3"/>
      <c r="G96" s="5"/>
      <c r="H96" s="5"/>
      <c r="I96" s="5"/>
    </row>
    <row r="97" spans="1:9" ht="30" customHeight="1" x14ac:dyDescent="0.25">
      <c r="A97" s="3">
        <v>96</v>
      </c>
      <c r="B97" s="4" t="s">
        <v>215</v>
      </c>
      <c r="C97" s="5" t="s">
        <v>216</v>
      </c>
      <c r="D97" s="5" t="s">
        <v>217</v>
      </c>
      <c r="E97" s="3" t="s">
        <v>12</v>
      </c>
      <c r="F97" s="3"/>
      <c r="G97" s="5"/>
      <c r="H97" s="5"/>
      <c r="I97" s="5"/>
    </row>
    <row r="98" spans="1:9" ht="30" customHeight="1" x14ac:dyDescent="0.25">
      <c r="A98" s="3">
        <v>97</v>
      </c>
      <c r="B98" s="4" t="s">
        <v>215</v>
      </c>
      <c r="C98" s="5" t="s">
        <v>218</v>
      </c>
      <c r="D98" s="5" t="s">
        <v>219</v>
      </c>
      <c r="E98" s="3" t="s">
        <v>12</v>
      </c>
      <c r="F98" s="3"/>
      <c r="G98" s="5"/>
      <c r="H98" s="5"/>
      <c r="I98" s="5"/>
    </row>
    <row r="99" spans="1:9" ht="30" customHeight="1" x14ac:dyDescent="0.25">
      <c r="A99" s="3">
        <v>98</v>
      </c>
      <c r="B99" s="4" t="s">
        <v>215</v>
      </c>
      <c r="C99" s="5" t="s">
        <v>220</v>
      </c>
      <c r="D99" s="5" t="s">
        <v>221</v>
      </c>
      <c r="E99" s="3" t="s">
        <v>12</v>
      </c>
      <c r="F99" s="3"/>
      <c r="G99" s="5"/>
      <c r="H99" s="5"/>
      <c r="I99" s="5"/>
    </row>
    <row r="100" spans="1:9" ht="30" customHeight="1" x14ac:dyDescent="0.25">
      <c r="A100" s="3">
        <v>99</v>
      </c>
      <c r="B100" s="4" t="s">
        <v>215</v>
      </c>
      <c r="C100" s="5" t="s">
        <v>222</v>
      </c>
      <c r="D100" s="5" t="s">
        <v>223</v>
      </c>
      <c r="E100" s="3" t="s">
        <v>12</v>
      </c>
      <c r="F100" s="3"/>
      <c r="G100" s="5"/>
      <c r="H100" s="5"/>
      <c r="I100" s="5"/>
    </row>
    <row r="101" spans="1:9" ht="30" customHeight="1" x14ac:dyDescent="0.25">
      <c r="A101" s="3">
        <v>100</v>
      </c>
      <c r="B101" s="4" t="s">
        <v>215</v>
      </c>
      <c r="C101" s="5" t="s">
        <v>224</v>
      </c>
      <c r="D101" s="5" t="s">
        <v>225</v>
      </c>
      <c r="E101" s="3" t="s">
        <v>12</v>
      </c>
      <c r="F101" s="3"/>
      <c r="G101" s="5"/>
      <c r="H101" s="5"/>
      <c r="I101" s="5"/>
    </row>
    <row r="102" spans="1:9" ht="30" customHeight="1" x14ac:dyDescent="0.25">
      <c r="A102" s="3">
        <v>101</v>
      </c>
      <c r="B102" s="4" t="s">
        <v>215</v>
      </c>
      <c r="C102" s="5" t="s">
        <v>226</v>
      </c>
      <c r="D102" s="5" t="s">
        <v>227</v>
      </c>
      <c r="E102" s="3" t="s">
        <v>12</v>
      </c>
      <c r="F102" s="3"/>
      <c r="G102" s="5"/>
      <c r="H102" s="5"/>
      <c r="I102" s="5"/>
    </row>
    <row r="103" spans="1:9" ht="30" customHeight="1" x14ac:dyDescent="0.25">
      <c r="A103" s="3">
        <v>102</v>
      </c>
      <c r="B103" s="4" t="s">
        <v>215</v>
      </c>
      <c r="C103" s="5" t="s">
        <v>228</v>
      </c>
      <c r="D103" s="5" t="s">
        <v>229</v>
      </c>
      <c r="E103" s="3" t="s">
        <v>12</v>
      </c>
      <c r="F103" s="3"/>
      <c r="G103" s="5"/>
      <c r="H103" s="5"/>
      <c r="I103" s="5"/>
    </row>
    <row r="104" spans="1:9" ht="30" customHeight="1" x14ac:dyDescent="0.25">
      <c r="A104" s="3">
        <v>103</v>
      </c>
      <c r="B104" s="4" t="s">
        <v>215</v>
      </c>
      <c r="C104" s="5" t="s">
        <v>230</v>
      </c>
      <c r="D104" s="5" t="s">
        <v>231</v>
      </c>
      <c r="E104" s="3" t="s">
        <v>12</v>
      </c>
      <c r="F104" s="3"/>
      <c r="G104" s="5"/>
      <c r="H104" s="5"/>
      <c r="I104" s="5"/>
    </row>
    <row r="105" spans="1:9" ht="30" customHeight="1" x14ac:dyDescent="0.25">
      <c r="A105" s="3">
        <v>104</v>
      </c>
      <c r="B105" s="4" t="s">
        <v>232</v>
      </c>
      <c r="C105" s="5" t="s">
        <v>233</v>
      </c>
      <c r="D105" s="5" t="s">
        <v>234</v>
      </c>
      <c r="E105" s="3" t="s">
        <v>12</v>
      </c>
      <c r="F105" s="3"/>
      <c r="G105" s="5"/>
      <c r="H105" s="5"/>
      <c r="I105" s="5"/>
    </row>
    <row r="106" spans="1:9" ht="30" customHeight="1" x14ac:dyDescent="0.25">
      <c r="A106" s="3">
        <v>105</v>
      </c>
      <c r="B106" s="4" t="s">
        <v>232</v>
      </c>
      <c r="C106" s="5" t="s">
        <v>235</v>
      </c>
      <c r="D106" s="5" t="s">
        <v>236</v>
      </c>
      <c r="E106" s="3" t="s">
        <v>12</v>
      </c>
      <c r="F106" s="3"/>
      <c r="G106" s="5"/>
      <c r="H106" s="5"/>
      <c r="I106" s="5"/>
    </row>
    <row r="107" spans="1:9" ht="30" customHeight="1" x14ac:dyDescent="0.25">
      <c r="A107" s="3">
        <v>106</v>
      </c>
      <c r="B107" s="4" t="s">
        <v>232</v>
      </c>
      <c r="C107" s="5" t="s">
        <v>237</v>
      </c>
      <c r="D107" s="5" t="s">
        <v>238</v>
      </c>
      <c r="E107" s="3" t="s">
        <v>12</v>
      </c>
      <c r="F107" s="3"/>
      <c r="G107" s="5"/>
      <c r="H107" s="5"/>
      <c r="I107" s="5"/>
    </row>
    <row r="108" spans="1:9" ht="30" customHeight="1" x14ac:dyDescent="0.25">
      <c r="A108" s="3">
        <v>107</v>
      </c>
      <c r="B108" s="4" t="s">
        <v>232</v>
      </c>
      <c r="C108" s="5" t="s">
        <v>239</v>
      </c>
      <c r="D108" s="5" t="s">
        <v>240</v>
      </c>
      <c r="E108" s="3" t="s">
        <v>12</v>
      </c>
      <c r="F108" s="3"/>
      <c r="G108" s="5"/>
      <c r="H108" s="5"/>
      <c r="I108" s="5"/>
    </row>
    <row r="109" spans="1:9" ht="30" customHeight="1" x14ac:dyDescent="0.25">
      <c r="A109" s="3">
        <v>108</v>
      </c>
      <c r="B109" s="4" t="s">
        <v>232</v>
      </c>
      <c r="C109" s="5" t="s">
        <v>241</v>
      </c>
      <c r="D109" s="5" t="s">
        <v>242</v>
      </c>
      <c r="E109" s="3" t="s">
        <v>12</v>
      </c>
      <c r="F109" s="3"/>
      <c r="G109" s="5"/>
      <c r="H109" s="5"/>
      <c r="I109" s="5"/>
    </row>
    <row r="110" spans="1:9" ht="30" customHeight="1" x14ac:dyDescent="0.25">
      <c r="A110" s="3">
        <v>109</v>
      </c>
      <c r="B110" s="4" t="s">
        <v>232</v>
      </c>
      <c r="C110" s="5" t="s">
        <v>243</v>
      </c>
      <c r="D110" s="5" t="s">
        <v>244</v>
      </c>
      <c r="E110" s="3" t="s">
        <v>12</v>
      </c>
      <c r="F110" s="3"/>
      <c r="G110" s="5"/>
      <c r="H110" s="5"/>
      <c r="I110" s="5"/>
    </row>
    <row r="111" spans="1:9" ht="30" customHeight="1" x14ac:dyDescent="0.25">
      <c r="A111" s="3">
        <v>110</v>
      </c>
      <c r="B111" s="4" t="s">
        <v>232</v>
      </c>
      <c r="C111" s="5" t="s">
        <v>245</v>
      </c>
      <c r="D111" s="5" t="s">
        <v>246</v>
      </c>
      <c r="E111" s="3" t="s">
        <v>12</v>
      </c>
      <c r="F111" s="3"/>
      <c r="G111" s="5"/>
      <c r="H111" s="5"/>
      <c r="I111" s="5"/>
    </row>
    <row r="112" spans="1:9" ht="30" customHeight="1" x14ac:dyDescent="0.25">
      <c r="A112" s="3">
        <v>111</v>
      </c>
      <c r="B112" s="4" t="s">
        <v>232</v>
      </c>
      <c r="C112" s="5" t="s">
        <v>247</v>
      </c>
      <c r="D112" s="5" t="s">
        <v>248</v>
      </c>
      <c r="E112" s="3" t="s">
        <v>12</v>
      </c>
      <c r="F112" s="3"/>
      <c r="G112" s="5"/>
      <c r="H112" s="5"/>
      <c r="I112" s="5"/>
    </row>
    <row r="113" spans="1:9" ht="30" customHeight="1" x14ac:dyDescent="0.25">
      <c r="A113" s="3">
        <v>112</v>
      </c>
      <c r="B113" s="4" t="s">
        <v>249</v>
      </c>
      <c r="C113" s="5" t="s">
        <v>250</v>
      </c>
      <c r="D113" s="5" t="s">
        <v>251</v>
      </c>
      <c r="E113" s="3" t="s">
        <v>12</v>
      </c>
      <c r="F113" s="3"/>
      <c r="G113" s="5"/>
      <c r="H113" s="5"/>
      <c r="I113" s="5"/>
    </row>
    <row r="114" spans="1:9" ht="30" customHeight="1" x14ac:dyDescent="0.25">
      <c r="A114" s="3">
        <v>113</v>
      </c>
      <c r="B114" s="4" t="s">
        <v>249</v>
      </c>
      <c r="C114" s="5" t="s">
        <v>252</v>
      </c>
      <c r="D114" s="5" t="s">
        <v>253</v>
      </c>
      <c r="E114" s="3" t="s">
        <v>12</v>
      </c>
      <c r="F114" s="3"/>
      <c r="G114" s="5"/>
      <c r="H114" s="5"/>
      <c r="I114" s="5"/>
    </row>
    <row r="115" spans="1:9" ht="30" customHeight="1" x14ac:dyDescent="0.25">
      <c r="A115" s="3">
        <v>114</v>
      </c>
      <c r="B115" s="4" t="s">
        <v>249</v>
      </c>
      <c r="C115" s="5" t="s">
        <v>254</v>
      </c>
      <c r="D115" s="5" t="s">
        <v>255</v>
      </c>
      <c r="E115" s="3" t="s">
        <v>12</v>
      </c>
      <c r="F115" s="3"/>
      <c r="G115" s="5"/>
      <c r="H115" s="5"/>
      <c r="I115" s="5"/>
    </row>
    <row r="116" spans="1:9" ht="30" customHeight="1" x14ac:dyDescent="0.25">
      <c r="A116" s="3">
        <v>115</v>
      </c>
      <c r="B116" s="4" t="s">
        <v>249</v>
      </c>
      <c r="C116" s="5" t="s">
        <v>256</v>
      </c>
      <c r="D116" s="5" t="s">
        <v>257</v>
      </c>
      <c r="E116" s="3" t="s">
        <v>12</v>
      </c>
      <c r="F116" s="3"/>
      <c r="G116" s="5"/>
      <c r="H116" s="5"/>
      <c r="I116" s="5"/>
    </row>
    <row r="117" spans="1:9" ht="30" customHeight="1" x14ac:dyDescent="0.25">
      <c r="A117" s="3">
        <v>116</v>
      </c>
      <c r="B117" s="4" t="s">
        <v>249</v>
      </c>
      <c r="C117" s="5" t="s">
        <v>258</v>
      </c>
      <c r="D117" s="5" t="s">
        <v>259</v>
      </c>
      <c r="E117" s="3" t="s">
        <v>12</v>
      </c>
      <c r="F117" s="3"/>
      <c r="G117" s="5"/>
      <c r="H117" s="5"/>
      <c r="I117" s="5"/>
    </row>
    <row r="118" spans="1:9" ht="30" customHeight="1" x14ac:dyDescent="0.25">
      <c r="A118" s="3">
        <v>117</v>
      </c>
      <c r="B118" s="4" t="s">
        <v>260</v>
      </c>
      <c r="C118" s="5" t="s">
        <v>261</v>
      </c>
      <c r="D118" s="5" t="s">
        <v>262</v>
      </c>
      <c r="E118" s="3" t="s">
        <v>12</v>
      </c>
      <c r="F118" s="3"/>
      <c r="G118" s="5"/>
      <c r="H118" s="5"/>
      <c r="I118" s="5"/>
    </row>
    <row r="119" spans="1:9" ht="30" customHeight="1" x14ac:dyDescent="0.25">
      <c r="A119" s="3">
        <v>118</v>
      </c>
      <c r="B119" s="4" t="s">
        <v>260</v>
      </c>
      <c r="C119" s="5" t="s">
        <v>263</v>
      </c>
      <c r="D119" s="5" t="s">
        <v>264</v>
      </c>
      <c r="E119" s="3" t="s">
        <v>12</v>
      </c>
      <c r="F119" s="3"/>
      <c r="G119" s="5"/>
      <c r="H119" s="5"/>
      <c r="I119" s="5"/>
    </row>
    <row r="120" spans="1:9" ht="30" customHeight="1" x14ac:dyDescent="0.25">
      <c r="A120" s="3">
        <v>119</v>
      </c>
      <c r="B120" s="4" t="s">
        <v>260</v>
      </c>
      <c r="C120" s="5" t="s">
        <v>265</v>
      </c>
      <c r="D120" s="5" t="s">
        <v>266</v>
      </c>
      <c r="E120" s="3" t="s">
        <v>12</v>
      </c>
      <c r="F120" s="3"/>
      <c r="G120" s="5"/>
      <c r="H120" s="5"/>
      <c r="I120" s="5"/>
    </row>
    <row r="121" spans="1:9" ht="30" customHeight="1" x14ac:dyDescent="0.25">
      <c r="A121" s="3">
        <v>120</v>
      </c>
      <c r="B121" s="4" t="s">
        <v>260</v>
      </c>
      <c r="C121" s="5" t="s">
        <v>267</v>
      </c>
      <c r="D121" s="5" t="s">
        <v>268</v>
      </c>
      <c r="E121" s="3" t="s">
        <v>12</v>
      </c>
      <c r="F121" s="3"/>
      <c r="G121" s="5"/>
      <c r="H121" s="5"/>
      <c r="I121" s="5"/>
    </row>
    <row r="122" spans="1:9" ht="30" customHeight="1" x14ac:dyDescent="0.25">
      <c r="A122" s="3">
        <v>121</v>
      </c>
      <c r="B122" s="4" t="s">
        <v>260</v>
      </c>
      <c r="C122" s="5" t="s">
        <v>269</v>
      </c>
      <c r="D122" s="5" t="s">
        <v>270</v>
      </c>
      <c r="E122" s="3" t="s">
        <v>12</v>
      </c>
      <c r="F122" s="3"/>
      <c r="G122" s="5"/>
      <c r="H122" s="5"/>
      <c r="I122" s="5"/>
    </row>
    <row r="123" spans="1:9" ht="30" customHeight="1" x14ac:dyDescent="0.25">
      <c r="A123" s="3">
        <v>122</v>
      </c>
      <c r="B123" s="4" t="s">
        <v>260</v>
      </c>
      <c r="C123" s="5" t="s">
        <v>271</v>
      </c>
      <c r="D123" s="5" t="s">
        <v>272</v>
      </c>
      <c r="E123" s="3" t="s">
        <v>12</v>
      </c>
      <c r="F123" s="3"/>
      <c r="G123" s="5"/>
      <c r="H123" s="5"/>
      <c r="I123" s="5"/>
    </row>
    <row r="124" spans="1:9" ht="30" customHeight="1" x14ac:dyDescent="0.25">
      <c r="A124" s="3">
        <v>123</v>
      </c>
      <c r="B124" s="4" t="s">
        <v>273</v>
      </c>
      <c r="C124" s="5" t="s">
        <v>274</v>
      </c>
      <c r="D124" s="5" t="s">
        <v>275</v>
      </c>
      <c r="E124" s="3" t="s">
        <v>12</v>
      </c>
      <c r="F124" s="3"/>
      <c r="G124" s="5"/>
      <c r="H124" s="5"/>
      <c r="I124" s="5"/>
    </row>
    <row r="125" spans="1:9" ht="30" customHeight="1" x14ac:dyDescent="0.25">
      <c r="A125" s="3">
        <v>124</v>
      </c>
      <c r="B125" s="4" t="s">
        <v>273</v>
      </c>
      <c r="C125" s="5" t="s">
        <v>276</v>
      </c>
      <c r="D125" s="5" t="s">
        <v>277</v>
      </c>
      <c r="E125" s="3" t="s">
        <v>12</v>
      </c>
      <c r="F125" s="3"/>
      <c r="G125" s="5"/>
      <c r="H125" s="5"/>
      <c r="I125" s="5"/>
    </row>
    <row r="126" spans="1:9" ht="30" customHeight="1" x14ac:dyDescent="0.25">
      <c r="A126" s="3">
        <v>125</v>
      </c>
      <c r="B126" s="4" t="s">
        <v>273</v>
      </c>
      <c r="C126" s="5" t="s">
        <v>278</v>
      </c>
      <c r="D126" s="5" t="s">
        <v>279</v>
      </c>
      <c r="E126" s="3" t="s">
        <v>12</v>
      </c>
      <c r="F126" s="3"/>
      <c r="G126" s="5"/>
      <c r="H126" s="5"/>
      <c r="I126" s="5"/>
    </row>
    <row r="127" spans="1:9" ht="30" customHeight="1" x14ac:dyDescent="0.25">
      <c r="A127" s="3">
        <v>126</v>
      </c>
      <c r="B127" s="4" t="s">
        <v>280</v>
      </c>
      <c r="C127" s="5" t="s">
        <v>281</v>
      </c>
      <c r="D127" s="5" t="s">
        <v>282</v>
      </c>
      <c r="E127" s="3" t="s">
        <v>12</v>
      </c>
      <c r="F127" s="3"/>
      <c r="G127" s="5"/>
      <c r="H127" s="5"/>
      <c r="I127" s="5"/>
    </row>
    <row r="128" spans="1:9" ht="30" customHeight="1" x14ac:dyDescent="0.25">
      <c r="A128" s="3">
        <v>127</v>
      </c>
      <c r="B128" s="4" t="s">
        <v>280</v>
      </c>
      <c r="C128" s="5" t="s">
        <v>283</v>
      </c>
      <c r="D128" s="5" t="s">
        <v>284</v>
      </c>
      <c r="E128" s="3" t="s">
        <v>12</v>
      </c>
      <c r="F128" s="3"/>
      <c r="G128" s="5"/>
      <c r="H128" s="5"/>
      <c r="I128" s="5"/>
    </row>
    <row r="129" spans="1:9" ht="30" customHeight="1" x14ac:dyDescent="0.25">
      <c r="A129" s="3">
        <v>128</v>
      </c>
      <c r="B129" s="4" t="s">
        <v>280</v>
      </c>
      <c r="C129" s="5" t="s">
        <v>285</v>
      </c>
      <c r="D129" s="5" t="s">
        <v>286</v>
      </c>
      <c r="E129" s="3" t="s">
        <v>12</v>
      </c>
      <c r="F129" s="3"/>
      <c r="G129" s="5"/>
      <c r="H129" s="5"/>
      <c r="I129" s="5"/>
    </row>
    <row r="130" spans="1:9" ht="30" customHeight="1" x14ac:dyDescent="0.25">
      <c r="A130" s="3">
        <v>129</v>
      </c>
      <c r="B130" s="4" t="s">
        <v>280</v>
      </c>
      <c r="C130" s="5" t="s">
        <v>287</v>
      </c>
      <c r="D130" s="5" t="s">
        <v>288</v>
      </c>
      <c r="E130" s="3" t="s">
        <v>12</v>
      </c>
      <c r="F130" s="3"/>
      <c r="G130" s="5"/>
      <c r="H130" s="5"/>
      <c r="I130" s="5"/>
    </row>
    <row r="131" spans="1:9" ht="30" customHeight="1" x14ac:dyDescent="0.25">
      <c r="A131" s="3">
        <v>130</v>
      </c>
      <c r="B131" s="4" t="s">
        <v>280</v>
      </c>
      <c r="C131" s="5" t="s">
        <v>289</v>
      </c>
      <c r="D131" s="5" t="s">
        <v>290</v>
      </c>
      <c r="E131" s="3" t="s">
        <v>12</v>
      </c>
      <c r="F131" s="3"/>
      <c r="G131" s="5"/>
      <c r="H131" s="5"/>
      <c r="I131" s="5"/>
    </row>
    <row r="132" spans="1:9" ht="30" customHeight="1" x14ac:dyDescent="0.25">
      <c r="A132" s="3">
        <v>131</v>
      </c>
      <c r="B132" s="4" t="s">
        <v>280</v>
      </c>
      <c r="C132" s="5" t="s">
        <v>291</v>
      </c>
      <c r="D132" s="5" t="s">
        <v>292</v>
      </c>
      <c r="E132" s="3" t="s">
        <v>12</v>
      </c>
      <c r="F132" s="3"/>
      <c r="G132" s="5"/>
      <c r="H132" s="5"/>
      <c r="I132" s="5"/>
    </row>
    <row r="133" spans="1:9" ht="30" customHeight="1" x14ac:dyDescent="0.25">
      <c r="A133" s="3">
        <v>132</v>
      </c>
      <c r="B133" s="4" t="s">
        <v>293</v>
      </c>
      <c r="C133" s="5" t="s">
        <v>294</v>
      </c>
      <c r="D133" s="5" t="s">
        <v>295</v>
      </c>
      <c r="E133" s="3" t="s">
        <v>12</v>
      </c>
      <c r="F133" s="3"/>
      <c r="G133" s="5"/>
      <c r="H133" s="5"/>
      <c r="I133" s="5"/>
    </row>
    <row r="134" spans="1:9" ht="30" customHeight="1" x14ac:dyDescent="0.25">
      <c r="A134" s="3">
        <v>133</v>
      </c>
      <c r="B134" s="4" t="s">
        <v>293</v>
      </c>
      <c r="C134" s="5" t="s">
        <v>296</v>
      </c>
      <c r="D134" s="5" t="s">
        <v>297</v>
      </c>
      <c r="E134" s="3" t="s">
        <v>12</v>
      </c>
      <c r="F134" s="3"/>
      <c r="G134" s="5"/>
      <c r="H134" s="5"/>
      <c r="I134" s="5"/>
    </row>
    <row r="135" spans="1:9" ht="30" customHeight="1" x14ac:dyDescent="0.25">
      <c r="A135" s="3">
        <v>134</v>
      </c>
      <c r="B135" s="4" t="s">
        <v>293</v>
      </c>
      <c r="C135" s="5" t="s">
        <v>298</v>
      </c>
      <c r="D135" s="5" t="s">
        <v>299</v>
      </c>
      <c r="E135" s="3" t="s">
        <v>12</v>
      </c>
      <c r="F135" s="3"/>
      <c r="G135" s="5"/>
      <c r="H135" s="5"/>
      <c r="I135" s="5"/>
    </row>
    <row r="136" spans="1:9" ht="30" customHeight="1" x14ac:dyDescent="0.25">
      <c r="A136" s="3">
        <v>135</v>
      </c>
      <c r="B136" s="4" t="s">
        <v>293</v>
      </c>
      <c r="C136" s="5" t="s">
        <v>300</v>
      </c>
      <c r="D136" s="5" t="s">
        <v>301</v>
      </c>
      <c r="E136" s="3" t="s">
        <v>12</v>
      </c>
      <c r="F136" s="3"/>
      <c r="G136" s="5"/>
      <c r="H136" s="5"/>
      <c r="I136" s="5"/>
    </row>
    <row r="137" spans="1:9" ht="30" customHeight="1" x14ac:dyDescent="0.25">
      <c r="A137" s="3">
        <v>136</v>
      </c>
      <c r="B137" s="4" t="s">
        <v>293</v>
      </c>
      <c r="C137" s="5" t="s">
        <v>302</v>
      </c>
      <c r="D137" s="5" t="s">
        <v>303</v>
      </c>
      <c r="E137" s="3" t="s">
        <v>12</v>
      </c>
      <c r="F137" s="3"/>
      <c r="G137" s="5"/>
      <c r="H137" s="5"/>
      <c r="I137" s="5"/>
    </row>
    <row r="138" spans="1:9" ht="30" customHeight="1" x14ac:dyDescent="0.25">
      <c r="A138" s="3">
        <v>137</v>
      </c>
      <c r="B138" s="4" t="s">
        <v>293</v>
      </c>
      <c r="C138" s="5" t="s">
        <v>304</v>
      </c>
      <c r="D138" s="5" t="s">
        <v>305</v>
      </c>
      <c r="E138" s="3" t="s">
        <v>12</v>
      </c>
      <c r="F138" s="3"/>
      <c r="G138" s="5"/>
      <c r="H138" s="5"/>
      <c r="I138" s="5"/>
    </row>
    <row r="139" spans="1:9" ht="30" customHeight="1" x14ac:dyDescent="0.25">
      <c r="A139" s="3">
        <v>138</v>
      </c>
      <c r="B139" s="4" t="s">
        <v>293</v>
      </c>
      <c r="C139" s="5" t="s">
        <v>306</v>
      </c>
      <c r="D139" s="5" t="s">
        <v>307</v>
      </c>
      <c r="E139" s="3" t="s">
        <v>12</v>
      </c>
      <c r="F139" s="3"/>
      <c r="G139" s="5"/>
      <c r="H139" s="5"/>
      <c r="I139" s="5"/>
    </row>
    <row r="140" spans="1:9" ht="30" customHeight="1" x14ac:dyDescent="0.25">
      <c r="A140" s="3">
        <v>139</v>
      </c>
      <c r="B140" s="4" t="s">
        <v>293</v>
      </c>
      <c r="C140" s="5" t="s">
        <v>308</v>
      </c>
      <c r="D140" s="5" t="s">
        <v>309</v>
      </c>
      <c r="E140" s="3" t="s">
        <v>12</v>
      </c>
      <c r="F140" s="3"/>
      <c r="G140" s="5"/>
      <c r="H140" s="5"/>
      <c r="I140" s="5"/>
    </row>
    <row r="141" spans="1:9" ht="30" customHeight="1" x14ac:dyDescent="0.25">
      <c r="A141" s="3">
        <v>140</v>
      </c>
      <c r="B141" s="4" t="s">
        <v>310</v>
      </c>
      <c r="C141" s="5" t="s">
        <v>311</v>
      </c>
      <c r="D141" s="5" t="s">
        <v>312</v>
      </c>
      <c r="E141" s="3" t="s">
        <v>12</v>
      </c>
      <c r="F141" s="3"/>
      <c r="G141" s="5"/>
      <c r="H141" s="5"/>
      <c r="I141" s="5"/>
    </row>
    <row r="142" spans="1:9" ht="30" customHeight="1" x14ac:dyDescent="0.25">
      <c r="A142" s="3">
        <v>141</v>
      </c>
      <c r="B142" s="4" t="s">
        <v>310</v>
      </c>
      <c r="C142" s="5" t="s">
        <v>313</v>
      </c>
      <c r="D142" s="5" t="s">
        <v>314</v>
      </c>
      <c r="E142" s="3" t="s">
        <v>12</v>
      </c>
      <c r="F142" s="3"/>
      <c r="G142" s="5"/>
      <c r="H142" s="5"/>
      <c r="I142" s="5"/>
    </row>
    <row r="143" spans="1:9" ht="30" customHeight="1" x14ac:dyDescent="0.25">
      <c r="A143" s="3">
        <v>142</v>
      </c>
      <c r="B143" s="4" t="s">
        <v>310</v>
      </c>
      <c r="C143" s="5" t="s">
        <v>315</v>
      </c>
      <c r="D143" s="5" t="s">
        <v>316</v>
      </c>
      <c r="E143" s="3" t="s">
        <v>12</v>
      </c>
      <c r="F143" s="3"/>
      <c r="G143" s="5"/>
      <c r="H143" s="5"/>
      <c r="I143" s="5"/>
    </row>
    <row r="144" spans="1:9" ht="30" customHeight="1" x14ac:dyDescent="0.25">
      <c r="A144" s="3">
        <v>143</v>
      </c>
      <c r="B144" s="4" t="s">
        <v>317</v>
      </c>
      <c r="C144" s="5" t="s">
        <v>318</v>
      </c>
      <c r="D144" s="5" t="s">
        <v>319</v>
      </c>
      <c r="E144" s="3" t="s">
        <v>12</v>
      </c>
      <c r="F144" s="3"/>
      <c r="G144" s="5"/>
      <c r="H144" s="5"/>
      <c r="I144" s="5"/>
    </row>
    <row r="145" spans="1:9" ht="30" customHeight="1" x14ac:dyDescent="0.25">
      <c r="A145" s="3">
        <v>144</v>
      </c>
      <c r="B145" s="4" t="s">
        <v>317</v>
      </c>
      <c r="C145" s="5" t="s">
        <v>320</v>
      </c>
      <c r="D145" s="5" t="s">
        <v>321</v>
      </c>
      <c r="E145" s="3" t="s">
        <v>12</v>
      </c>
      <c r="F145" s="3"/>
      <c r="G145" s="5"/>
      <c r="H145" s="5"/>
      <c r="I145" s="5"/>
    </row>
    <row r="146" spans="1:9" ht="30" customHeight="1" x14ac:dyDescent="0.25">
      <c r="A146" s="3">
        <v>145</v>
      </c>
      <c r="B146" s="4" t="s">
        <v>317</v>
      </c>
      <c r="C146" s="5" t="s">
        <v>322</v>
      </c>
      <c r="D146" s="5" t="s">
        <v>323</v>
      </c>
      <c r="E146" s="3" t="s">
        <v>12</v>
      </c>
      <c r="F146" s="3"/>
      <c r="G146" s="5"/>
      <c r="H146" s="5"/>
      <c r="I146" s="5"/>
    </row>
    <row r="147" spans="1:9" ht="30" customHeight="1" x14ac:dyDescent="0.25">
      <c r="A147" s="3">
        <v>146</v>
      </c>
      <c r="B147" s="4" t="s">
        <v>317</v>
      </c>
      <c r="C147" s="5" t="s">
        <v>190</v>
      </c>
      <c r="D147" s="5" t="s">
        <v>324</v>
      </c>
      <c r="E147" s="3" t="s">
        <v>12</v>
      </c>
      <c r="F147" s="3"/>
      <c r="G147" s="5"/>
      <c r="H147" s="5"/>
      <c r="I147" s="5"/>
    </row>
    <row r="148" spans="1:9" ht="30" customHeight="1" x14ac:dyDescent="0.25">
      <c r="A148" s="3">
        <v>147</v>
      </c>
      <c r="B148" s="4" t="s">
        <v>317</v>
      </c>
      <c r="C148" s="5" t="s">
        <v>325</v>
      </c>
      <c r="D148" s="5" t="s">
        <v>326</v>
      </c>
      <c r="E148" s="3" t="s">
        <v>12</v>
      </c>
      <c r="F148" s="3"/>
      <c r="G148" s="5"/>
      <c r="H148" s="5"/>
      <c r="I148" s="5"/>
    </row>
    <row r="149" spans="1:9" ht="30" customHeight="1" x14ac:dyDescent="0.25">
      <c r="A149" s="3">
        <v>148</v>
      </c>
      <c r="B149" s="4" t="s">
        <v>317</v>
      </c>
      <c r="C149" s="5" t="s">
        <v>327</v>
      </c>
      <c r="D149" s="5" t="s">
        <v>328</v>
      </c>
      <c r="E149" s="3" t="s">
        <v>12</v>
      </c>
      <c r="F149" s="3"/>
      <c r="G149" s="5"/>
      <c r="H149" s="5"/>
      <c r="I149" s="5"/>
    </row>
    <row r="150" spans="1:9" ht="30" customHeight="1" x14ac:dyDescent="0.25">
      <c r="A150" s="3">
        <v>149</v>
      </c>
      <c r="B150" s="4" t="s">
        <v>329</v>
      </c>
      <c r="C150" s="5" t="s">
        <v>330</v>
      </c>
      <c r="D150" s="5" t="s">
        <v>331</v>
      </c>
      <c r="E150" s="3" t="s">
        <v>12</v>
      </c>
      <c r="F150" s="3"/>
      <c r="G150" s="5"/>
      <c r="H150" s="5"/>
      <c r="I150" s="5"/>
    </row>
    <row r="151" spans="1:9" ht="30" customHeight="1" x14ac:dyDescent="0.25">
      <c r="A151" s="3">
        <v>150</v>
      </c>
      <c r="B151" s="4" t="s">
        <v>329</v>
      </c>
      <c r="C151" s="5" t="s">
        <v>332</v>
      </c>
      <c r="D151" s="5" t="s">
        <v>333</v>
      </c>
      <c r="E151" s="3" t="s">
        <v>12</v>
      </c>
      <c r="F151" s="3"/>
      <c r="G151" s="5"/>
      <c r="H151" s="5"/>
      <c r="I151" s="5"/>
    </row>
    <row r="152" spans="1:9" ht="30" customHeight="1" x14ac:dyDescent="0.25">
      <c r="A152" s="3">
        <v>151</v>
      </c>
      <c r="B152" s="4" t="s">
        <v>329</v>
      </c>
      <c r="C152" s="5" t="s">
        <v>334</v>
      </c>
      <c r="D152" s="5" t="s">
        <v>335</v>
      </c>
      <c r="E152" s="3" t="s">
        <v>12</v>
      </c>
      <c r="F152" s="3"/>
      <c r="G152" s="5"/>
      <c r="H152" s="5"/>
      <c r="I152" s="5"/>
    </row>
    <row r="153" spans="1:9" ht="30" customHeight="1" x14ac:dyDescent="0.25">
      <c r="A153" s="3">
        <v>152</v>
      </c>
      <c r="B153" s="4" t="s">
        <v>329</v>
      </c>
      <c r="C153" s="5" t="s">
        <v>336</v>
      </c>
      <c r="D153" s="5" t="s">
        <v>337</v>
      </c>
      <c r="E153" s="3" t="s">
        <v>12</v>
      </c>
      <c r="F153" s="3"/>
      <c r="G153" s="5"/>
      <c r="H153" s="5"/>
      <c r="I153" s="5"/>
    </row>
    <row r="154" spans="1:9" ht="30" customHeight="1" x14ac:dyDescent="0.25">
      <c r="A154" s="3">
        <v>153</v>
      </c>
      <c r="B154" s="4" t="s">
        <v>329</v>
      </c>
      <c r="C154" s="5" t="s">
        <v>338</v>
      </c>
      <c r="D154" s="5" t="s">
        <v>339</v>
      </c>
      <c r="E154" s="3" t="s">
        <v>12</v>
      </c>
      <c r="F154" s="3"/>
      <c r="G154" s="5"/>
      <c r="H154" s="5"/>
      <c r="I154" s="5"/>
    </row>
    <row r="155" spans="1:9" ht="30" customHeight="1" x14ac:dyDescent="0.25">
      <c r="A155" s="3">
        <v>154</v>
      </c>
      <c r="B155" s="4" t="s">
        <v>329</v>
      </c>
      <c r="C155" s="5" t="s">
        <v>340</v>
      </c>
      <c r="D155" s="5" t="s">
        <v>341</v>
      </c>
      <c r="E155" s="3" t="s">
        <v>12</v>
      </c>
      <c r="F155" s="3"/>
      <c r="G155" s="5"/>
      <c r="H155" s="5"/>
      <c r="I155" s="5"/>
    </row>
    <row r="156" spans="1:9" ht="30" customHeight="1" x14ac:dyDescent="0.25">
      <c r="A156" s="3">
        <v>155</v>
      </c>
      <c r="B156" s="4" t="s">
        <v>329</v>
      </c>
      <c r="C156" s="5" t="s">
        <v>342</v>
      </c>
      <c r="D156" s="5" t="s">
        <v>343</v>
      </c>
      <c r="E156" s="3" t="s">
        <v>12</v>
      </c>
      <c r="F156" s="3"/>
      <c r="G156" s="5"/>
      <c r="H156" s="5"/>
      <c r="I156" s="5"/>
    </row>
    <row r="157" spans="1:9" ht="30" customHeight="1" x14ac:dyDescent="0.25">
      <c r="A157" s="3">
        <v>156</v>
      </c>
      <c r="B157" s="4" t="s">
        <v>329</v>
      </c>
      <c r="C157" s="5" t="s">
        <v>344</v>
      </c>
      <c r="D157" s="5" t="s">
        <v>345</v>
      </c>
      <c r="E157" s="3" t="s">
        <v>12</v>
      </c>
      <c r="F157" s="3"/>
      <c r="G157" s="5"/>
      <c r="H157" s="5"/>
      <c r="I157" s="5"/>
    </row>
    <row r="158" spans="1:9" ht="30" customHeight="1" x14ac:dyDescent="0.25">
      <c r="A158" s="3">
        <v>157</v>
      </c>
      <c r="B158" s="4" t="s">
        <v>346</v>
      </c>
      <c r="C158" s="5" t="s">
        <v>347</v>
      </c>
      <c r="D158" s="5" t="s">
        <v>348</v>
      </c>
      <c r="E158" s="3" t="s">
        <v>12</v>
      </c>
      <c r="F158" s="3"/>
      <c r="G158" s="5"/>
      <c r="H158" s="5"/>
      <c r="I158" s="5"/>
    </row>
    <row r="159" spans="1:9" ht="30" customHeight="1" x14ac:dyDescent="0.25">
      <c r="A159" s="3">
        <v>158</v>
      </c>
      <c r="B159" s="4" t="s">
        <v>346</v>
      </c>
      <c r="C159" s="5" t="s">
        <v>349</v>
      </c>
      <c r="D159" s="5" t="s">
        <v>350</v>
      </c>
      <c r="E159" s="3" t="s">
        <v>12</v>
      </c>
      <c r="F159" s="3"/>
      <c r="G159" s="5"/>
      <c r="H159" s="5"/>
      <c r="I159" s="5"/>
    </row>
    <row r="160" spans="1:9" ht="30" customHeight="1" x14ac:dyDescent="0.25">
      <c r="A160" s="3">
        <v>159</v>
      </c>
      <c r="B160" s="4" t="s">
        <v>346</v>
      </c>
      <c r="C160" s="5" t="s">
        <v>351</v>
      </c>
      <c r="D160" s="5" t="s">
        <v>352</v>
      </c>
      <c r="E160" s="3" t="s">
        <v>12</v>
      </c>
      <c r="F160" s="3"/>
      <c r="G160" s="5"/>
      <c r="H160" s="5"/>
      <c r="I160" s="5"/>
    </row>
    <row r="161" spans="1:9" ht="30" customHeight="1" x14ac:dyDescent="0.25">
      <c r="A161" s="3">
        <v>160</v>
      </c>
      <c r="B161" s="4" t="s">
        <v>346</v>
      </c>
      <c r="C161" s="5" t="s">
        <v>353</v>
      </c>
      <c r="D161" s="5" t="s">
        <v>354</v>
      </c>
      <c r="E161" s="3" t="s">
        <v>12</v>
      </c>
      <c r="F161" s="3"/>
      <c r="G161" s="5"/>
      <c r="H161" s="5"/>
      <c r="I161" s="5"/>
    </row>
    <row r="162" spans="1:9" ht="30" customHeight="1" x14ac:dyDescent="0.25">
      <c r="A162" s="3">
        <v>161</v>
      </c>
      <c r="B162" s="4" t="s">
        <v>355</v>
      </c>
      <c r="C162" s="5" t="s">
        <v>356</v>
      </c>
      <c r="D162" s="5" t="s">
        <v>357</v>
      </c>
      <c r="E162" s="3" t="s">
        <v>12</v>
      </c>
      <c r="F162" s="3"/>
      <c r="G162" s="5"/>
      <c r="H162" s="5"/>
      <c r="I162" s="5"/>
    </row>
    <row r="163" spans="1:9" ht="30" customHeight="1" x14ac:dyDescent="0.25">
      <c r="A163" s="3">
        <v>162</v>
      </c>
      <c r="B163" s="4" t="s">
        <v>355</v>
      </c>
      <c r="C163" s="5" t="s">
        <v>358</v>
      </c>
      <c r="D163" s="5" t="s">
        <v>359</v>
      </c>
      <c r="E163" s="3" t="s">
        <v>12</v>
      </c>
      <c r="F163" s="3"/>
      <c r="G163" s="5"/>
      <c r="H163" s="5"/>
      <c r="I163" s="5"/>
    </row>
    <row r="164" spans="1:9" ht="30" customHeight="1" x14ac:dyDescent="0.25">
      <c r="A164" s="3">
        <v>163</v>
      </c>
      <c r="B164" s="4" t="s">
        <v>355</v>
      </c>
      <c r="C164" s="5" t="s">
        <v>360</v>
      </c>
      <c r="D164" s="5" t="s">
        <v>361</v>
      </c>
      <c r="E164" s="3" t="s">
        <v>12</v>
      </c>
      <c r="F164" s="3"/>
      <c r="G164" s="5"/>
      <c r="H164" s="5"/>
      <c r="I164" s="5"/>
    </row>
    <row r="165" spans="1:9" ht="30" customHeight="1" x14ac:dyDescent="0.25">
      <c r="A165" s="3">
        <v>164</v>
      </c>
      <c r="B165" s="4" t="s">
        <v>355</v>
      </c>
      <c r="C165" s="5" t="s">
        <v>362</v>
      </c>
      <c r="D165" s="5" t="s">
        <v>363</v>
      </c>
      <c r="E165" s="3" t="s">
        <v>12</v>
      </c>
      <c r="F165" s="3"/>
      <c r="G165" s="5"/>
      <c r="H165" s="5"/>
      <c r="I165" s="5"/>
    </row>
    <row r="166" spans="1:9" ht="30" customHeight="1" x14ac:dyDescent="0.25">
      <c r="A166" s="3">
        <v>165</v>
      </c>
      <c r="B166" s="4" t="s">
        <v>355</v>
      </c>
      <c r="C166" s="5" t="s">
        <v>364</v>
      </c>
      <c r="D166" s="5" t="s">
        <v>365</v>
      </c>
      <c r="E166" s="3" t="s">
        <v>12</v>
      </c>
      <c r="F166" s="3"/>
      <c r="G166" s="5"/>
      <c r="H166" s="5"/>
      <c r="I166" s="5"/>
    </row>
    <row r="167" spans="1:9" ht="30" customHeight="1" x14ac:dyDescent="0.25">
      <c r="A167" s="3">
        <v>166</v>
      </c>
      <c r="B167" s="4" t="s">
        <v>355</v>
      </c>
      <c r="C167" s="5" t="s">
        <v>366</v>
      </c>
      <c r="D167" s="5" t="s">
        <v>367</v>
      </c>
      <c r="E167" s="3" t="s">
        <v>12</v>
      </c>
      <c r="F167" s="3"/>
      <c r="G167" s="5"/>
      <c r="H167" s="5"/>
      <c r="I167" s="5"/>
    </row>
    <row r="168" spans="1:9" ht="30" customHeight="1" x14ac:dyDescent="0.25">
      <c r="A168" s="3">
        <v>167</v>
      </c>
      <c r="B168" s="4" t="s">
        <v>355</v>
      </c>
      <c r="C168" s="5" t="s">
        <v>179</v>
      </c>
      <c r="D168" s="5" t="s">
        <v>368</v>
      </c>
      <c r="E168" s="3" t="s">
        <v>12</v>
      </c>
      <c r="F168" s="3"/>
      <c r="G168" s="5"/>
      <c r="H168" s="5"/>
      <c r="I168" s="5"/>
    </row>
    <row r="169" spans="1:9" ht="30" customHeight="1" x14ac:dyDescent="0.25">
      <c r="A169" s="3">
        <v>168</v>
      </c>
      <c r="B169" s="4" t="s">
        <v>355</v>
      </c>
      <c r="C169" s="5" t="s">
        <v>369</v>
      </c>
      <c r="D169" s="5" t="s">
        <v>370</v>
      </c>
      <c r="E169" s="3" t="s">
        <v>12</v>
      </c>
      <c r="F169" s="3"/>
      <c r="G169" s="5"/>
      <c r="H169" s="5"/>
      <c r="I169" s="5"/>
    </row>
    <row r="170" spans="1:9" ht="30" customHeight="1" x14ac:dyDescent="0.25">
      <c r="A170" s="3">
        <v>169</v>
      </c>
      <c r="B170" s="4" t="s">
        <v>355</v>
      </c>
      <c r="C170" s="5" t="s">
        <v>371</v>
      </c>
      <c r="D170" s="5" t="s">
        <v>372</v>
      </c>
      <c r="E170" s="3" t="s">
        <v>12</v>
      </c>
      <c r="F170" s="3"/>
      <c r="G170" s="5"/>
      <c r="H170" s="5"/>
      <c r="I170" s="5"/>
    </row>
    <row r="171" spans="1:9" ht="30" customHeight="1" x14ac:dyDescent="0.25">
      <c r="A171" s="3">
        <v>170</v>
      </c>
      <c r="B171" s="4" t="s">
        <v>355</v>
      </c>
      <c r="C171" s="5" t="s">
        <v>373</v>
      </c>
      <c r="D171" s="5" t="s">
        <v>374</v>
      </c>
      <c r="E171" s="3" t="s">
        <v>12</v>
      </c>
      <c r="F171" s="3"/>
      <c r="G171" s="5"/>
      <c r="H171" s="5"/>
      <c r="I171" s="5"/>
    </row>
    <row r="172" spans="1:9" ht="30" customHeight="1" x14ac:dyDescent="0.25">
      <c r="A172" s="3">
        <v>171</v>
      </c>
      <c r="B172" s="4" t="s">
        <v>375</v>
      </c>
      <c r="C172" s="5" t="s">
        <v>376</v>
      </c>
      <c r="D172" s="5" t="s">
        <v>377</v>
      </c>
      <c r="E172" s="3" t="s">
        <v>12</v>
      </c>
      <c r="F172" s="3"/>
      <c r="G172" s="5"/>
      <c r="H172" s="5"/>
      <c r="I172" s="5"/>
    </row>
    <row r="173" spans="1:9" ht="30" customHeight="1" x14ac:dyDescent="0.25">
      <c r="A173" s="3">
        <v>172</v>
      </c>
      <c r="B173" s="4" t="s">
        <v>375</v>
      </c>
      <c r="C173" s="5" t="s">
        <v>378</v>
      </c>
      <c r="D173" s="5" t="s">
        <v>379</v>
      </c>
      <c r="E173" s="3" t="s">
        <v>12</v>
      </c>
      <c r="F173" s="3"/>
      <c r="G173" s="5"/>
      <c r="H173" s="5"/>
      <c r="I173" s="5"/>
    </row>
    <row r="174" spans="1:9" ht="30" customHeight="1" x14ac:dyDescent="0.25">
      <c r="A174" s="3">
        <v>173</v>
      </c>
      <c r="B174" s="4" t="s">
        <v>375</v>
      </c>
      <c r="C174" s="5" t="s">
        <v>380</v>
      </c>
      <c r="D174" s="5" t="s">
        <v>381</v>
      </c>
      <c r="E174" s="3" t="s">
        <v>12</v>
      </c>
      <c r="F174" s="3"/>
      <c r="G174" s="5"/>
      <c r="H174" s="5"/>
      <c r="I174" s="5"/>
    </row>
    <row r="175" spans="1:9" ht="30" customHeight="1" x14ac:dyDescent="0.25">
      <c r="A175" s="3">
        <v>174</v>
      </c>
      <c r="B175" s="4" t="s">
        <v>375</v>
      </c>
      <c r="C175" s="5" t="s">
        <v>382</v>
      </c>
      <c r="D175" s="5" t="s">
        <v>383</v>
      </c>
      <c r="E175" s="3" t="s">
        <v>12</v>
      </c>
      <c r="F175" s="3"/>
      <c r="G175" s="5"/>
      <c r="H175" s="5"/>
      <c r="I175" s="5"/>
    </row>
    <row r="176" spans="1:9" ht="30" customHeight="1" x14ac:dyDescent="0.25">
      <c r="A176" s="3">
        <v>175</v>
      </c>
      <c r="B176" s="4" t="s">
        <v>384</v>
      </c>
      <c r="C176" s="5" t="s">
        <v>385</v>
      </c>
      <c r="D176" s="5" t="s">
        <v>386</v>
      </c>
      <c r="E176" s="3" t="s">
        <v>12</v>
      </c>
      <c r="F176" s="3"/>
      <c r="G176" s="5"/>
      <c r="H176" s="5"/>
      <c r="I176" s="5"/>
    </row>
    <row r="177" spans="1:9" ht="30" customHeight="1" x14ac:dyDescent="0.25">
      <c r="A177" s="3">
        <v>176</v>
      </c>
      <c r="B177" s="4" t="s">
        <v>384</v>
      </c>
      <c r="C177" s="5" t="s">
        <v>387</v>
      </c>
      <c r="D177" s="5" t="s">
        <v>388</v>
      </c>
      <c r="E177" s="3" t="s">
        <v>12</v>
      </c>
      <c r="F177" s="3"/>
      <c r="G177" s="5"/>
      <c r="H177" s="5"/>
      <c r="I177" s="5"/>
    </row>
    <row r="178" spans="1:9" ht="30" customHeight="1" x14ac:dyDescent="0.25">
      <c r="A178" s="3">
        <v>177</v>
      </c>
      <c r="B178" s="4" t="s">
        <v>384</v>
      </c>
      <c r="C178" s="5" t="s">
        <v>389</v>
      </c>
      <c r="D178" s="5" t="s">
        <v>390</v>
      </c>
      <c r="E178" s="3" t="s">
        <v>12</v>
      </c>
      <c r="F178" s="3"/>
      <c r="G178" s="5"/>
      <c r="H178" s="5"/>
      <c r="I178" s="5"/>
    </row>
    <row r="179" spans="1:9" ht="30" customHeight="1" x14ac:dyDescent="0.25">
      <c r="A179" s="3">
        <v>178</v>
      </c>
      <c r="B179" s="4" t="s">
        <v>384</v>
      </c>
      <c r="C179" s="5" t="s">
        <v>391</v>
      </c>
      <c r="D179" s="5" t="s">
        <v>392</v>
      </c>
      <c r="E179" s="3" t="s">
        <v>12</v>
      </c>
      <c r="F179" s="3"/>
      <c r="G179" s="5"/>
      <c r="H179" s="5"/>
      <c r="I179" s="5"/>
    </row>
    <row r="180" spans="1:9" ht="30" customHeight="1" x14ac:dyDescent="0.25">
      <c r="A180" s="3">
        <v>179</v>
      </c>
      <c r="B180" s="4" t="s">
        <v>393</v>
      </c>
      <c r="C180" s="5" t="s">
        <v>394</v>
      </c>
      <c r="D180" s="5" t="s">
        <v>395</v>
      </c>
      <c r="E180" s="3" t="s">
        <v>12</v>
      </c>
      <c r="F180" s="3"/>
      <c r="G180" s="5"/>
      <c r="H180" s="5"/>
      <c r="I180" s="5"/>
    </row>
    <row r="181" spans="1:9" ht="30" customHeight="1" x14ac:dyDescent="0.25">
      <c r="A181" s="3">
        <v>180</v>
      </c>
      <c r="B181" s="4" t="s">
        <v>393</v>
      </c>
      <c r="C181" s="5" t="s">
        <v>396</v>
      </c>
      <c r="D181" s="5" t="s">
        <v>397</v>
      </c>
      <c r="E181" s="3" t="s">
        <v>12</v>
      </c>
      <c r="F181" s="3"/>
      <c r="G181" s="5"/>
      <c r="H181" s="5"/>
      <c r="I181" s="5"/>
    </row>
    <row r="182" spans="1:9" ht="30" customHeight="1" x14ac:dyDescent="0.25">
      <c r="A182" s="3">
        <v>181</v>
      </c>
      <c r="B182" s="4" t="s">
        <v>393</v>
      </c>
      <c r="C182" s="5" t="s">
        <v>398</v>
      </c>
      <c r="D182" s="5" t="s">
        <v>399</v>
      </c>
      <c r="E182" s="3" t="s">
        <v>12</v>
      </c>
      <c r="F182" s="3"/>
      <c r="G182" s="5"/>
      <c r="H182" s="5"/>
      <c r="I182" s="5"/>
    </row>
    <row r="183" spans="1:9" ht="30" customHeight="1" x14ac:dyDescent="0.25">
      <c r="A183" s="3">
        <v>182</v>
      </c>
      <c r="B183" s="4" t="s">
        <v>400</v>
      </c>
      <c r="C183" s="5" t="s">
        <v>401</v>
      </c>
      <c r="D183" s="5" t="s">
        <v>402</v>
      </c>
      <c r="E183" s="3" t="s">
        <v>12</v>
      </c>
      <c r="F183" s="3"/>
      <c r="G183" s="5"/>
      <c r="H183" s="5"/>
      <c r="I183" s="5"/>
    </row>
    <row r="184" spans="1:9" ht="30" customHeight="1" x14ac:dyDescent="0.25">
      <c r="A184" s="3">
        <v>183</v>
      </c>
      <c r="B184" s="4" t="s">
        <v>400</v>
      </c>
      <c r="C184" s="5" t="s">
        <v>403</v>
      </c>
      <c r="D184" s="5" t="s">
        <v>404</v>
      </c>
      <c r="E184" s="3" t="s">
        <v>12</v>
      </c>
      <c r="F184" s="3"/>
      <c r="G184" s="5"/>
      <c r="H184" s="5"/>
      <c r="I184" s="5"/>
    </row>
    <row r="185" spans="1:9" ht="30" customHeight="1" x14ac:dyDescent="0.25">
      <c r="A185" s="3">
        <v>184</v>
      </c>
      <c r="B185" s="4" t="s">
        <v>400</v>
      </c>
      <c r="C185" s="5" t="s">
        <v>405</v>
      </c>
      <c r="D185" s="5" t="s">
        <v>406</v>
      </c>
      <c r="E185" s="3" t="s">
        <v>12</v>
      </c>
      <c r="F185" s="3"/>
      <c r="G185" s="5"/>
      <c r="H185" s="5"/>
      <c r="I185" s="5"/>
    </row>
    <row r="186" spans="1:9" ht="30" customHeight="1" x14ac:dyDescent="0.25">
      <c r="A186" s="3">
        <v>185</v>
      </c>
      <c r="B186" s="4" t="s">
        <v>400</v>
      </c>
      <c r="C186" s="5" t="s">
        <v>407</v>
      </c>
      <c r="D186" s="5" t="s">
        <v>408</v>
      </c>
      <c r="E186" s="3" t="s">
        <v>12</v>
      </c>
      <c r="F186" s="3"/>
      <c r="G186" s="5"/>
      <c r="H186" s="5"/>
      <c r="I186" s="5"/>
    </row>
    <row r="187" spans="1:9" ht="30" customHeight="1" x14ac:dyDescent="0.25">
      <c r="A187" s="3">
        <v>186</v>
      </c>
      <c r="B187" s="4" t="s">
        <v>400</v>
      </c>
      <c r="C187" s="5" t="s">
        <v>409</v>
      </c>
      <c r="D187" s="5" t="s">
        <v>410</v>
      </c>
      <c r="E187" s="3" t="s">
        <v>12</v>
      </c>
      <c r="F187" s="3"/>
      <c r="G187" s="5"/>
      <c r="H187" s="5"/>
      <c r="I187" s="5"/>
    </row>
    <row r="188" spans="1:9" ht="30" customHeight="1" x14ac:dyDescent="0.25">
      <c r="A188" s="3">
        <v>187</v>
      </c>
      <c r="B188" s="4" t="s">
        <v>411</v>
      </c>
      <c r="C188" s="5" t="s">
        <v>412</v>
      </c>
      <c r="D188" s="5" t="s">
        <v>413</v>
      </c>
      <c r="E188" s="3" t="s">
        <v>12</v>
      </c>
      <c r="F188" s="3"/>
      <c r="G188" s="5"/>
      <c r="H188" s="5"/>
      <c r="I188" s="5"/>
    </row>
    <row r="189" spans="1:9" ht="30" customHeight="1" x14ac:dyDescent="0.25">
      <c r="A189" s="3">
        <v>188</v>
      </c>
      <c r="B189" s="4" t="s">
        <v>411</v>
      </c>
      <c r="C189" s="5" t="s">
        <v>414</v>
      </c>
      <c r="D189" s="5" t="s">
        <v>415</v>
      </c>
      <c r="E189" s="3" t="s">
        <v>12</v>
      </c>
      <c r="F189" s="3"/>
      <c r="G189" s="5"/>
      <c r="H189" s="5"/>
      <c r="I189" s="5"/>
    </row>
    <row r="190" spans="1:9" ht="30" customHeight="1" x14ac:dyDescent="0.25">
      <c r="A190" s="3">
        <v>189</v>
      </c>
      <c r="B190" s="4" t="s">
        <v>411</v>
      </c>
      <c r="C190" s="5" t="s">
        <v>416</v>
      </c>
      <c r="D190" s="5" t="s">
        <v>417</v>
      </c>
      <c r="E190" s="3" t="s">
        <v>12</v>
      </c>
      <c r="F190" s="3"/>
      <c r="G190" s="5"/>
      <c r="H190" s="5"/>
      <c r="I190" s="5"/>
    </row>
    <row r="191" spans="1:9" ht="30" customHeight="1" x14ac:dyDescent="0.25">
      <c r="A191" s="3">
        <v>190</v>
      </c>
      <c r="B191" s="4" t="s">
        <v>411</v>
      </c>
      <c r="C191" s="5" t="s">
        <v>418</v>
      </c>
      <c r="D191" s="5" t="s">
        <v>419</v>
      </c>
      <c r="E191" s="3" t="s">
        <v>12</v>
      </c>
      <c r="F191" s="3"/>
      <c r="G191" s="5"/>
      <c r="H191" s="5"/>
      <c r="I191" s="5"/>
    </row>
    <row r="192" spans="1:9" ht="30" customHeight="1" x14ac:dyDescent="0.25">
      <c r="A192" s="3">
        <v>191</v>
      </c>
      <c r="B192" s="4" t="s">
        <v>411</v>
      </c>
      <c r="C192" s="5" t="s">
        <v>420</v>
      </c>
      <c r="D192" s="5" t="s">
        <v>421</v>
      </c>
      <c r="E192" s="3" t="s">
        <v>12</v>
      </c>
      <c r="F192" s="3"/>
      <c r="G192" s="5"/>
      <c r="H192" s="5"/>
      <c r="I192" s="5"/>
    </row>
    <row r="193" spans="1:9" ht="30" customHeight="1" x14ac:dyDescent="0.25">
      <c r="A193" s="3">
        <v>192</v>
      </c>
      <c r="B193" s="4" t="s">
        <v>411</v>
      </c>
      <c r="C193" s="5" t="s">
        <v>422</v>
      </c>
      <c r="D193" s="5" t="s">
        <v>423</v>
      </c>
      <c r="E193" s="3" t="s">
        <v>12</v>
      </c>
      <c r="F193" s="3"/>
      <c r="G193" s="5"/>
      <c r="H193" s="5"/>
      <c r="I193" s="5"/>
    </row>
    <row r="194" spans="1:9" ht="30" customHeight="1" x14ac:dyDescent="0.25">
      <c r="A194" s="3">
        <v>193</v>
      </c>
      <c r="B194" s="4" t="s">
        <v>411</v>
      </c>
      <c r="C194" s="5" t="s">
        <v>424</v>
      </c>
      <c r="D194" s="5" t="s">
        <v>425</v>
      </c>
      <c r="E194" s="3" t="s">
        <v>12</v>
      </c>
      <c r="F194" s="3"/>
      <c r="G194" s="5"/>
      <c r="H194" s="5"/>
      <c r="I194" s="5"/>
    </row>
    <row r="195" spans="1:9" ht="30" customHeight="1" x14ac:dyDescent="0.25">
      <c r="A195" s="3">
        <v>194</v>
      </c>
      <c r="B195" s="4" t="s">
        <v>426</v>
      </c>
      <c r="C195" s="5" t="s">
        <v>72</v>
      </c>
      <c r="D195" s="5" t="s">
        <v>427</v>
      </c>
      <c r="E195" s="3" t="s">
        <v>12</v>
      </c>
      <c r="F195" s="3"/>
      <c r="G195" s="5"/>
      <c r="H195" s="5"/>
      <c r="I195" s="5"/>
    </row>
    <row r="196" spans="1:9" ht="30" customHeight="1" x14ac:dyDescent="0.25">
      <c r="A196" s="3">
        <v>195</v>
      </c>
      <c r="B196" s="4" t="s">
        <v>426</v>
      </c>
      <c r="C196" s="5" t="s">
        <v>428</v>
      </c>
      <c r="D196" s="5" t="s">
        <v>429</v>
      </c>
      <c r="E196" s="3" t="s">
        <v>12</v>
      </c>
      <c r="F196" s="3"/>
      <c r="G196" s="5"/>
      <c r="H196" s="5"/>
      <c r="I196" s="5"/>
    </row>
    <row r="197" spans="1:9" ht="30" customHeight="1" x14ac:dyDescent="0.25">
      <c r="A197" s="3">
        <v>196</v>
      </c>
      <c r="B197" s="4" t="s">
        <v>426</v>
      </c>
      <c r="C197" s="5" t="s">
        <v>430</v>
      </c>
      <c r="D197" s="5" t="s">
        <v>431</v>
      </c>
      <c r="E197" s="3" t="s">
        <v>12</v>
      </c>
      <c r="F197" s="3"/>
      <c r="G197" s="5"/>
      <c r="H197" s="5"/>
      <c r="I197" s="5"/>
    </row>
    <row r="198" spans="1:9" ht="30" customHeight="1" x14ac:dyDescent="0.25">
      <c r="A198" s="3">
        <v>197</v>
      </c>
      <c r="B198" s="4" t="s">
        <v>426</v>
      </c>
      <c r="C198" s="5" t="s">
        <v>432</v>
      </c>
      <c r="D198" s="5" t="s">
        <v>433</v>
      </c>
      <c r="E198" s="3" t="s">
        <v>12</v>
      </c>
      <c r="F198" s="3"/>
      <c r="G198" s="5"/>
      <c r="H198" s="5"/>
      <c r="I198" s="5"/>
    </row>
    <row r="199" spans="1:9" ht="30" customHeight="1" x14ac:dyDescent="0.25">
      <c r="A199" s="3">
        <v>198</v>
      </c>
      <c r="B199" s="4" t="s">
        <v>426</v>
      </c>
      <c r="C199" s="5" t="s">
        <v>434</v>
      </c>
      <c r="D199" s="5" t="s">
        <v>435</v>
      </c>
      <c r="E199" s="3" t="s">
        <v>12</v>
      </c>
      <c r="F199" s="3"/>
      <c r="G199" s="5"/>
      <c r="H199" s="5"/>
      <c r="I199" s="5"/>
    </row>
    <row r="200" spans="1:9" ht="30" customHeight="1" x14ac:dyDescent="0.25">
      <c r="A200" s="3">
        <v>199</v>
      </c>
      <c r="B200" s="4" t="s">
        <v>426</v>
      </c>
      <c r="C200" s="5" t="s">
        <v>436</v>
      </c>
      <c r="D200" s="5" t="s">
        <v>437</v>
      </c>
      <c r="E200" s="3" t="s">
        <v>12</v>
      </c>
      <c r="F200" s="3"/>
      <c r="G200" s="5"/>
      <c r="H200" s="5"/>
      <c r="I200" s="5"/>
    </row>
    <row r="201" spans="1:9" ht="30" customHeight="1" x14ac:dyDescent="0.25">
      <c r="A201" s="3">
        <v>200</v>
      </c>
      <c r="B201" s="4" t="s">
        <v>426</v>
      </c>
      <c r="C201" s="5" t="s">
        <v>438</v>
      </c>
      <c r="D201" s="5" t="s">
        <v>439</v>
      </c>
      <c r="E201" s="3" t="s">
        <v>12</v>
      </c>
      <c r="F201" s="3"/>
      <c r="G201" s="5"/>
      <c r="H201" s="5"/>
      <c r="I201" s="5"/>
    </row>
    <row r="202" spans="1:9" ht="30" customHeight="1" x14ac:dyDescent="0.25">
      <c r="A202" s="3">
        <v>201</v>
      </c>
      <c r="B202" s="4" t="s">
        <v>426</v>
      </c>
      <c r="C202" s="5" t="s">
        <v>440</v>
      </c>
      <c r="D202" s="5" t="s">
        <v>441</v>
      </c>
      <c r="E202" s="3" t="s">
        <v>12</v>
      </c>
      <c r="F202" s="3"/>
      <c r="G202" s="5"/>
      <c r="H202" s="5"/>
      <c r="I202" s="5"/>
    </row>
    <row r="203" spans="1:9" ht="30" customHeight="1" x14ac:dyDescent="0.25">
      <c r="A203" s="3">
        <v>202</v>
      </c>
      <c r="B203" s="4" t="s">
        <v>442</v>
      </c>
      <c r="C203" s="5" t="s">
        <v>443</v>
      </c>
      <c r="D203" s="5" t="s">
        <v>444</v>
      </c>
      <c r="E203" s="3" t="s">
        <v>12</v>
      </c>
      <c r="F203" s="3"/>
      <c r="G203" s="5"/>
      <c r="H203" s="5"/>
      <c r="I203" s="5"/>
    </row>
    <row r="204" spans="1:9" ht="30" customHeight="1" x14ac:dyDescent="0.25">
      <c r="A204" s="3">
        <v>203</v>
      </c>
      <c r="B204" s="4" t="s">
        <v>442</v>
      </c>
      <c r="C204" s="5" t="s">
        <v>445</v>
      </c>
      <c r="D204" s="5" t="s">
        <v>446</v>
      </c>
      <c r="E204" s="3" t="s">
        <v>12</v>
      </c>
      <c r="F204" s="3"/>
      <c r="G204" s="5"/>
      <c r="H204" s="5"/>
      <c r="I204" s="5"/>
    </row>
    <row r="205" spans="1:9" ht="30" customHeight="1" x14ac:dyDescent="0.25">
      <c r="A205" s="3">
        <v>204</v>
      </c>
      <c r="B205" s="4" t="s">
        <v>442</v>
      </c>
      <c r="C205" s="5" t="s">
        <v>447</v>
      </c>
      <c r="D205" s="5" t="s">
        <v>448</v>
      </c>
      <c r="E205" s="3" t="s">
        <v>12</v>
      </c>
      <c r="F205" s="3"/>
      <c r="G205" s="5"/>
      <c r="H205" s="5"/>
      <c r="I205" s="5"/>
    </row>
    <row r="206" spans="1:9" ht="30" customHeight="1" x14ac:dyDescent="0.25">
      <c r="A206" s="3">
        <v>205</v>
      </c>
      <c r="B206" s="4" t="s">
        <v>442</v>
      </c>
      <c r="C206" s="5" t="s">
        <v>449</v>
      </c>
      <c r="D206" s="5" t="s">
        <v>450</v>
      </c>
      <c r="E206" s="3" t="s">
        <v>12</v>
      </c>
      <c r="F206" s="3"/>
      <c r="G206" s="5"/>
      <c r="H206" s="5"/>
      <c r="I206" s="5"/>
    </row>
    <row r="207" spans="1:9" ht="30" customHeight="1" x14ac:dyDescent="0.25">
      <c r="A207" s="3">
        <v>206</v>
      </c>
      <c r="B207" s="4" t="s">
        <v>442</v>
      </c>
      <c r="C207" s="5" t="s">
        <v>451</v>
      </c>
      <c r="D207" s="5" t="s">
        <v>452</v>
      </c>
      <c r="E207" s="3" t="s">
        <v>12</v>
      </c>
      <c r="F207" s="3"/>
      <c r="G207" s="5"/>
      <c r="H207" s="5"/>
      <c r="I207" s="5"/>
    </row>
    <row r="208" spans="1:9" ht="30" customHeight="1" x14ac:dyDescent="0.25">
      <c r="A208" s="3">
        <v>207</v>
      </c>
      <c r="B208" s="4" t="s">
        <v>442</v>
      </c>
      <c r="C208" s="5" t="s">
        <v>453</v>
      </c>
      <c r="D208" s="5" t="s">
        <v>454</v>
      </c>
      <c r="E208" s="3" t="s">
        <v>12</v>
      </c>
      <c r="F208" s="3"/>
      <c r="G208" s="5"/>
      <c r="H208" s="5"/>
      <c r="I208" s="5"/>
    </row>
    <row r="209" spans="1:9" ht="30" customHeight="1" x14ac:dyDescent="0.25">
      <c r="A209" s="3">
        <v>208</v>
      </c>
      <c r="B209" s="4" t="s">
        <v>442</v>
      </c>
      <c r="C209" s="5" t="s">
        <v>455</v>
      </c>
      <c r="D209" s="5" t="s">
        <v>456</v>
      </c>
      <c r="E209" s="3" t="s">
        <v>12</v>
      </c>
      <c r="F209" s="3"/>
      <c r="G209" s="5"/>
      <c r="H209" s="5"/>
      <c r="I209" s="5"/>
    </row>
    <row r="210" spans="1:9" ht="30" customHeight="1" x14ac:dyDescent="0.25">
      <c r="A210" s="3">
        <v>209</v>
      </c>
      <c r="B210" s="4" t="s">
        <v>457</v>
      </c>
      <c r="C210" s="5" t="s">
        <v>458</v>
      </c>
      <c r="D210" s="5" t="s">
        <v>459</v>
      </c>
      <c r="E210" s="3" t="s">
        <v>12</v>
      </c>
      <c r="F210" s="3"/>
      <c r="G210" s="5"/>
      <c r="H210" s="5"/>
      <c r="I210" s="5"/>
    </row>
    <row r="211" spans="1:9" ht="30" customHeight="1" x14ac:dyDescent="0.25">
      <c r="A211" s="3">
        <v>210</v>
      </c>
      <c r="B211" s="4" t="s">
        <v>457</v>
      </c>
      <c r="C211" s="5" t="s">
        <v>460</v>
      </c>
      <c r="D211" s="5" t="s">
        <v>461</v>
      </c>
      <c r="E211" s="3" t="s">
        <v>12</v>
      </c>
      <c r="F211" s="3"/>
      <c r="G211" s="5"/>
      <c r="H211" s="5"/>
      <c r="I211" s="5"/>
    </row>
    <row r="212" spans="1:9" ht="30" customHeight="1" x14ac:dyDescent="0.25">
      <c r="A212" s="3">
        <v>211</v>
      </c>
      <c r="B212" s="4" t="s">
        <v>457</v>
      </c>
      <c r="C212" s="5" t="s">
        <v>462</v>
      </c>
      <c r="D212" s="5" t="s">
        <v>463</v>
      </c>
      <c r="E212" s="3" t="s">
        <v>12</v>
      </c>
      <c r="F212" s="3"/>
      <c r="G212" s="5"/>
      <c r="H212" s="5"/>
      <c r="I212" s="5"/>
    </row>
    <row r="213" spans="1:9" ht="30" customHeight="1" x14ac:dyDescent="0.25">
      <c r="A213" s="3">
        <v>212</v>
      </c>
      <c r="B213" s="4" t="s">
        <v>457</v>
      </c>
      <c r="C213" s="5" t="s">
        <v>464</v>
      </c>
      <c r="D213" s="5" t="s">
        <v>465</v>
      </c>
      <c r="E213" s="3" t="s">
        <v>12</v>
      </c>
      <c r="F213" s="3"/>
      <c r="G213" s="5"/>
      <c r="H213" s="5"/>
      <c r="I213" s="5"/>
    </row>
    <row r="214" spans="1:9" ht="30" customHeight="1" x14ac:dyDescent="0.25">
      <c r="A214" s="3">
        <v>213</v>
      </c>
      <c r="B214" s="4" t="s">
        <v>457</v>
      </c>
      <c r="C214" s="5" t="s">
        <v>466</v>
      </c>
      <c r="D214" s="5" t="s">
        <v>467</v>
      </c>
      <c r="E214" s="3" t="s">
        <v>12</v>
      </c>
      <c r="F214" s="3"/>
      <c r="G214" s="5"/>
      <c r="H214" s="5"/>
      <c r="I214" s="5"/>
    </row>
    <row r="215" spans="1:9" ht="30" customHeight="1" x14ac:dyDescent="0.25">
      <c r="A215" s="3">
        <v>214</v>
      </c>
      <c r="B215" s="4" t="s">
        <v>457</v>
      </c>
      <c r="C215" s="5" t="s">
        <v>468</v>
      </c>
      <c r="D215" s="5" t="s">
        <v>469</v>
      </c>
      <c r="E215" s="3" t="s">
        <v>12</v>
      </c>
      <c r="F215" s="3"/>
      <c r="G215" s="5"/>
      <c r="H215" s="5"/>
      <c r="I215" s="5"/>
    </row>
    <row r="216" spans="1:9" ht="30" customHeight="1" x14ac:dyDescent="0.25">
      <c r="A216" s="3">
        <v>215</v>
      </c>
      <c r="B216" s="4" t="s">
        <v>457</v>
      </c>
      <c r="C216" s="5" t="s">
        <v>470</v>
      </c>
      <c r="D216" s="5" t="s">
        <v>471</v>
      </c>
      <c r="E216" s="3" t="s">
        <v>12</v>
      </c>
      <c r="F216" s="3"/>
      <c r="G216" s="5"/>
      <c r="H216" s="5"/>
      <c r="I216" s="5"/>
    </row>
    <row r="217" spans="1:9" ht="30" customHeight="1" x14ac:dyDescent="0.25">
      <c r="A217" s="3">
        <v>216</v>
      </c>
      <c r="B217" s="4" t="s">
        <v>472</v>
      </c>
      <c r="C217" s="5" t="s">
        <v>473</v>
      </c>
      <c r="D217" s="5" t="s">
        <v>474</v>
      </c>
      <c r="E217" s="3" t="s">
        <v>12</v>
      </c>
      <c r="F217" s="3"/>
      <c r="G217" s="5"/>
      <c r="H217" s="5"/>
      <c r="I217" s="5"/>
    </row>
    <row r="218" spans="1:9" ht="30" customHeight="1" x14ac:dyDescent="0.25">
      <c r="A218" s="3">
        <v>217</v>
      </c>
      <c r="B218" s="4" t="s">
        <v>472</v>
      </c>
      <c r="C218" s="5" t="s">
        <v>475</v>
      </c>
      <c r="D218" s="5" t="s">
        <v>476</v>
      </c>
      <c r="E218" s="3" t="s">
        <v>12</v>
      </c>
      <c r="F218" s="3"/>
      <c r="G218" s="5"/>
      <c r="H218" s="5"/>
      <c r="I218" s="5"/>
    </row>
    <row r="219" spans="1:9" ht="30" customHeight="1" x14ac:dyDescent="0.25">
      <c r="A219" s="3">
        <v>218</v>
      </c>
      <c r="B219" s="4" t="s">
        <v>472</v>
      </c>
      <c r="C219" s="5" t="s">
        <v>477</v>
      </c>
      <c r="D219" s="5" t="s">
        <v>478</v>
      </c>
      <c r="E219" s="3" t="s">
        <v>12</v>
      </c>
      <c r="F219" s="3"/>
      <c r="G219" s="5"/>
      <c r="H219" s="5"/>
      <c r="I219" s="5"/>
    </row>
    <row r="220" spans="1:9" ht="30" customHeight="1" x14ac:dyDescent="0.25">
      <c r="A220" s="3">
        <v>219</v>
      </c>
      <c r="B220" s="4" t="s">
        <v>472</v>
      </c>
      <c r="C220" s="5" t="s">
        <v>479</v>
      </c>
      <c r="D220" s="5" t="s">
        <v>480</v>
      </c>
      <c r="E220" s="3" t="s">
        <v>12</v>
      </c>
      <c r="F220" s="3"/>
      <c r="G220" s="5"/>
      <c r="H220" s="5"/>
      <c r="I220" s="5"/>
    </row>
    <row r="221" spans="1:9" ht="30" customHeight="1" x14ac:dyDescent="0.25">
      <c r="A221" s="3">
        <v>220</v>
      </c>
      <c r="B221" s="4" t="s">
        <v>472</v>
      </c>
      <c r="C221" s="5" t="s">
        <v>481</v>
      </c>
      <c r="D221" s="5" t="s">
        <v>482</v>
      </c>
      <c r="E221" s="3" t="s">
        <v>12</v>
      </c>
      <c r="F221" s="3"/>
      <c r="G221" s="5"/>
      <c r="H221" s="5"/>
      <c r="I221" s="5"/>
    </row>
    <row r="222" spans="1:9" ht="30" customHeight="1" x14ac:dyDescent="0.25">
      <c r="A222" s="3">
        <v>221</v>
      </c>
      <c r="B222" s="4" t="s">
        <v>472</v>
      </c>
      <c r="C222" s="5" t="s">
        <v>483</v>
      </c>
      <c r="D222" s="5" t="s">
        <v>484</v>
      </c>
      <c r="E222" s="3" t="s">
        <v>12</v>
      </c>
      <c r="F222" s="3"/>
      <c r="G222" s="5"/>
      <c r="H222" s="5"/>
      <c r="I222" s="5"/>
    </row>
    <row r="223" spans="1:9" ht="30" customHeight="1" x14ac:dyDescent="0.25">
      <c r="A223" s="3">
        <v>222</v>
      </c>
      <c r="B223" s="4" t="s">
        <v>485</v>
      </c>
      <c r="C223" s="5" t="s">
        <v>486</v>
      </c>
      <c r="D223" s="5" t="s">
        <v>487</v>
      </c>
      <c r="E223" s="3" t="s">
        <v>12</v>
      </c>
      <c r="F223" s="3"/>
      <c r="G223" s="5"/>
      <c r="H223" s="5"/>
      <c r="I223" s="5"/>
    </row>
    <row r="224" spans="1:9" ht="30" customHeight="1" x14ac:dyDescent="0.25">
      <c r="A224" s="3">
        <v>223</v>
      </c>
      <c r="B224" s="4" t="s">
        <v>485</v>
      </c>
      <c r="C224" s="5" t="s">
        <v>488</v>
      </c>
      <c r="D224" s="5" t="s">
        <v>489</v>
      </c>
      <c r="E224" s="3" t="s">
        <v>12</v>
      </c>
      <c r="F224" s="3"/>
      <c r="G224" s="5"/>
      <c r="H224" s="5"/>
      <c r="I224" s="5"/>
    </row>
    <row r="225" spans="1:9" ht="30" customHeight="1" x14ac:dyDescent="0.25">
      <c r="A225" s="3">
        <v>224</v>
      </c>
      <c r="B225" s="4" t="s">
        <v>485</v>
      </c>
      <c r="C225" s="5" t="s">
        <v>490</v>
      </c>
      <c r="D225" s="5" t="s">
        <v>491</v>
      </c>
      <c r="E225" s="3" t="s">
        <v>12</v>
      </c>
      <c r="F225" s="3"/>
      <c r="G225" s="5"/>
      <c r="H225" s="5"/>
      <c r="I225" s="5"/>
    </row>
    <row r="226" spans="1:9" ht="30" customHeight="1" x14ac:dyDescent="0.25">
      <c r="A226" s="3">
        <v>225</v>
      </c>
      <c r="B226" s="4" t="s">
        <v>485</v>
      </c>
      <c r="C226" s="5" t="s">
        <v>492</v>
      </c>
      <c r="D226" s="5" t="s">
        <v>493</v>
      </c>
      <c r="E226" s="3" t="s">
        <v>12</v>
      </c>
      <c r="F226" s="3"/>
      <c r="G226" s="5"/>
      <c r="H226" s="5"/>
      <c r="I226" s="5"/>
    </row>
    <row r="227" spans="1:9" ht="30" customHeight="1" x14ac:dyDescent="0.25">
      <c r="A227" s="3">
        <v>226</v>
      </c>
      <c r="B227" s="4" t="s">
        <v>485</v>
      </c>
      <c r="C227" s="5" t="s">
        <v>494</v>
      </c>
      <c r="D227" s="5" t="s">
        <v>495</v>
      </c>
      <c r="E227" s="3" t="s">
        <v>12</v>
      </c>
      <c r="F227" s="3"/>
      <c r="G227" s="5"/>
      <c r="H227" s="5"/>
      <c r="I227" s="5"/>
    </row>
    <row r="228" spans="1:9" ht="30" customHeight="1" x14ac:dyDescent="0.25">
      <c r="A228" s="3">
        <v>227</v>
      </c>
      <c r="B228" s="4" t="s">
        <v>485</v>
      </c>
      <c r="C228" s="5" t="s">
        <v>496</v>
      </c>
      <c r="D228" s="5" t="s">
        <v>497</v>
      </c>
      <c r="E228" s="3" t="s">
        <v>12</v>
      </c>
      <c r="F228" s="3"/>
      <c r="G228" s="5"/>
      <c r="H228" s="5"/>
      <c r="I228" s="5"/>
    </row>
    <row r="229" spans="1:9" ht="30" customHeight="1" x14ac:dyDescent="0.25">
      <c r="A229" s="3">
        <v>228</v>
      </c>
      <c r="B229" s="4" t="s">
        <v>485</v>
      </c>
      <c r="C229" s="5" t="s">
        <v>498</v>
      </c>
      <c r="D229" s="5" t="s">
        <v>499</v>
      </c>
      <c r="E229" s="3" t="s">
        <v>12</v>
      </c>
      <c r="F229" s="3"/>
      <c r="G229" s="5"/>
      <c r="H229" s="5"/>
      <c r="I229" s="5"/>
    </row>
    <row r="230" spans="1:9" ht="30" customHeight="1" x14ac:dyDescent="0.25">
      <c r="A230" s="3">
        <v>229</v>
      </c>
      <c r="B230" s="4" t="s">
        <v>485</v>
      </c>
      <c r="C230" s="5" t="s">
        <v>500</v>
      </c>
      <c r="D230" s="5" t="s">
        <v>501</v>
      </c>
      <c r="E230" s="3" t="s">
        <v>12</v>
      </c>
      <c r="F230" s="3"/>
      <c r="G230" s="5"/>
      <c r="H230" s="5"/>
      <c r="I230" s="5"/>
    </row>
    <row r="231" spans="1:9" ht="30" customHeight="1" x14ac:dyDescent="0.25">
      <c r="A231" s="3">
        <v>230</v>
      </c>
      <c r="B231" s="4" t="s">
        <v>502</v>
      </c>
      <c r="C231" s="5" t="s">
        <v>503</v>
      </c>
      <c r="D231" s="5" t="s">
        <v>504</v>
      </c>
      <c r="E231" s="3" t="s">
        <v>12</v>
      </c>
      <c r="F231" s="3"/>
      <c r="G231" s="5"/>
      <c r="H231" s="5"/>
      <c r="I231" s="5"/>
    </row>
    <row r="232" spans="1:9" ht="30" customHeight="1" x14ac:dyDescent="0.25">
      <c r="A232" s="3">
        <v>231</v>
      </c>
      <c r="B232" s="4" t="s">
        <v>502</v>
      </c>
      <c r="C232" s="5" t="s">
        <v>505</v>
      </c>
      <c r="D232" s="5" t="s">
        <v>506</v>
      </c>
      <c r="E232" s="3" t="s">
        <v>12</v>
      </c>
      <c r="F232" s="3"/>
      <c r="G232" s="5"/>
      <c r="H232" s="5"/>
      <c r="I232" s="5"/>
    </row>
    <row r="233" spans="1:9" ht="30" customHeight="1" x14ac:dyDescent="0.25">
      <c r="A233" s="3">
        <v>232</v>
      </c>
      <c r="B233" s="4" t="s">
        <v>502</v>
      </c>
      <c r="C233" s="5" t="s">
        <v>424</v>
      </c>
      <c r="D233" s="5" t="s">
        <v>507</v>
      </c>
      <c r="E233" s="3" t="s">
        <v>12</v>
      </c>
      <c r="F233" s="3"/>
      <c r="G233" s="5"/>
      <c r="H233" s="5"/>
      <c r="I233" s="5"/>
    </row>
    <row r="234" spans="1:9" ht="30" customHeight="1" x14ac:dyDescent="0.25">
      <c r="A234" s="3">
        <v>233</v>
      </c>
      <c r="B234" s="4" t="s">
        <v>502</v>
      </c>
      <c r="C234" s="5" t="s">
        <v>508</v>
      </c>
      <c r="D234" s="5" t="s">
        <v>509</v>
      </c>
      <c r="E234" s="3" t="s">
        <v>12</v>
      </c>
      <c r="F234" s="3"/>
      <c r="G234" s="5"/>
      <c r="H234" s="5"/>
      <c r="I234" s="5"/>
    </row>
    <row r="235" spans="1:9" ht="30" customHeight="1" x14ac:dyDescent="0.25">
      <c r="A235" s="3">
        <v>234</v>
      </c>
      <c r="B235" s="4" t="s">
        <v>502</v>
      </c>
      <c r="C235" s="5" t="s">
        <v>510</v>
      </c>
      <c r="D235" s="5" t="s">
        <v>511</v>
      </c>
      <c r="E235" s="3" t="s">
        <v>12</v>
      </c>
      <c r="F235" s="3"/>
      <c r="G235" s="5"/>
      <c r="H235" s="5"/>
      <c r="I235" s="5"/>
    </row>
    <row r="236" spans="1:9" ht="30" customHeight="1" x14ac:dyDescent="0.25">
      <c r="A236" s="3">
        <v>235</v>
      </c>
      <c r="B236" s="4" t="s">
        <v>502</v>
      </c>
      <c r="C236" s="5" t="s">
        <v>512</v>
      </c>
      <c r="D236" s="5" t="s">
        <v>513</v>
      </c>
      <c r="E236" s="3" t="s">
        <v>12</v>
      </c>
      <c r="F236" s="3"/>
      <c r="G236" s="5"/>
      <c r="H236" s="5"/>
      <c r="I236" s="5"/>
    </row>
    <row r="237" spans="1:9" ht="30" customHeight="1" x14ac:dyDescent="0.25">
      <c r="A237" s="3">
        <v>236</v>
      </c>
      <c r="B237" s="4" t="s">
        <v>502</v>
      </c>
      <c r="C237" s="5" t="s">
        <v>514</v>
      </c>
      <c r="D237" s="5" t="s">
        <v>515</v>
      </c>
      <c r="E237" s="3" t="s">
        <v>12</v>
      </c>
      <c r="F237" s="3"/>
      <c r="G237" s="5"/>
      <c r="H237" s="5"/>
      <c r="I237" s="5"/>
    </row>
    <row r="238" spans="1:9" ht="30" customHeight="1" x14ac:dyDescent="0.25">
      <c r="A238" s="3">
        <v>237</v>
      </c>
      <c r="B238" s="4" t="s">
        <v>502</v>
      </c>
      <c r="C238" s="5" t="s">
        <v>516</v>
      </c>
      <c r="D238" s="5" t="s">
        <v>517</v>
      </c>
      <c r="E238" s="3" t="s">
        <v>12</v>
      </c>
      <c r="F238" s="3"/>
      <c r="G238" s="5"/>
      <c r="H238" s="5"/>
      <c r="I238" s="5"/>
    </row>
    <row r="239" spans="1:9" ht="30" customHeight="1" x14ac:dyDescent="0.25">
      <c r="A239" s="3">
        <v>238</v>
      </c>
      <c r="B239" s="4" t="s">
        <v>502</v>
      </c>
      <c r="C239" s="5" t="s">
        <v>518</v>
      </c>
      <c r="D239" s="5" t="s">
        <v>519</v>
      </c>
      <c r="E239" s="3" t="s">
        <v>12</v>
      </c>
      <c r="F239" s="3"/>
      <c r="G239" s="5"/>
      <c r="H239" s="5"/>
      <c r="I239" s="5"/>
    </row>
    <row r="240" spans="1:9" ht="30" customHeight="1" x14ac:dyDescent="0.25">
      <c r="A240" s="3">
        <v>239</v>
      </c>
      <c r="B240" s="4" t="s">
        <v>502</v>
      </c>
      <c r="C240" s="5" t="s">
        <v>520</v>
      </c>
      <c r="D240" s="5" t="s">
        <v>521</v>
      </c>
      <c r="E240" s="3" t="s">
        <v>12</v>
      </c>
      <c r="F240" s="3"/>
      <c r="G240" s="5"/>
      <c r="H240" s="5"/>
      <c r="I240" s="5"/>
    </row>
    <row r="241" spans="1:9" ht="30" customHeight="1" x14ac:dyDescent="0.25">
      <c r="A241" s="3">
        <v>240</v>
      </c>
      <c r="B241" s="4" t="s">
        <v>522</v>
      </c>
      <c r="C241" s="5" t="s">
        <v>523</v>
      </c>
      <c r="D241" s="5" t="s">
        <v>524</v>
      </c>
      <c r="E241" s="3" t="s">
        <v>12</v>
      </c>
      <c r="F241" s="3"/>
      <c r="G241" s="5"/>
      <c r="H241" s="5"/>
      <c r="I241" s="5"/>
    </row>
    <row r="242" spans="1:9" ht="30" customHeight="1" x14ac:dyDescent="0.25">
      <c r="A242" s="3">
        <v>241</v>
      </c>
      <c r="B242" s="4" t="s">
        <v>522</v>
      </c>
      <c r="C242" s="5" t="s">
        <v>525</v>
      </c>
      <c r="D242" s="5" t="s">
        <v>526</v>
      </c>
      <c r="E242" s="3" t="s">
        <v>12</v>
      </c>
      <c r="F242" s="3"/>
      <c r="G242" s="5"/>
      <c r="H242" s="5"/>
      <c r="I242" s="5"/>
    </row>
    <row r="243" spans="1:9" ht="30" customHeight="1" x14ac:dyDescent="0.25">
      <c r="A243" s="3">
        <v>242</v>
      </c>
      <c r="B243" s="4" t="s">
        <v>522</v>
      </c>
      <c r="C243" s="5" t="s">
        <v>527</v>
      </c>
      <c r="D243" s="5" t="s">
        <v>528</v>
      </c>
      <c r="E243" s="3" t="s">
        <v>12</v>
      </c>
      <c r="F243" s="3"/>
      <c r="G243" s="5"/>
      <c r="H243" s="5"/>
      <c r="I243" s="5"/>
    </row>
    <row r="244" spans="1:9" ht="30" customHeight="1" x14ac:dyDescent="0.25">
      <c r="A244" s="3">
        <v>243</v>
      </c>
      <c r="B244" s="4" t="s">
        <v>522</v>
      </c>
      <c r="C244" s="5" t="s">
        <v>529</v>
      </c>
      <c r="D244" s="5" t="s">
        <v>530</v>
      </c>
      <c r="E244" s="3" t="s">
        <v>12</v>
      </c>
      <c r="F244" s="3"/>
      <c r="G244" s="5"/>
      <c r="H244" s="5"/>
      <c r="I244" s="5"/>
    </row>
    <row r="245" spans="1:9" ht="30" customHeight="1" x14ac:dyDescent="0.25">
      <c r="A245" s="3">
        <v>244</v>
      </c>
      <c r="B245" s="4" t="s">
        <v>522</v>
      </c>
      <c r="C245" s="5" t="s">
        <v>531</v>
      </c>
      <c r="D245" s="5" t="s">
        <v>532</v>
      </c>
      <c r="E245" s="3" t="s">
        <v>12</v>
      </c>
      <c r="F245" s="3"/>
      <c r="G245" s="5"/>
      <c r="H245" s="5"/>
      <c r="I245" s="5"/>
    </row>
    <row r="246" spans="1:9" ht="30" customHeight="1" x14ac:dyDescent="0.25">
      <c r="A246" s="3">
        <v>245</v>
      </c>
      <c r="B246" s="4" t="s">
        <v>522</v>
      </c>
      <c r="C246" s="5" t="s">
        <v>533</v>
      </c>
      <c r="D246" s="5" t="s">
        <v>534</v>
      </c>
      <c r="E246" s="3" t="s">
        <v>12</v>
      </c>
      <c r="F246" s="3"/>
      <c r="G246" s="5"/>
      <c r="H246" s="5"/>
      <c r="I246" s="5"/>
    </row>
    <row r="247" spans="1:9" ht="30" customHeight="1" x14ac:dyDescent="0.25">
      <c r="A247" s="3">
        <v>246</v>
      </c>
      <c r="B247" s="4" t="s">
        <v>522</v>
      </c>
      <c r="C247" s="5" t="s">
        <v>535</v>
      </c>
      <c r="D247" s="5" t="s">
        <v>536</v>
      </c>
      <c r="E247" s="3" t="s">
        <v>12</v>
      </c>
      <c r="F247" s="3"/>
      <c r="G247" s="5"/>
      <c r="H247" s="5"/>
      <c r="I247" s="5"/>
    </row>
  </sheetData>
  <conditionalFormatting sqref="E2:E247">
    <cfRule type="cellIs" dxfId="5" priority="2" operator="equal">
      <formula>"Not Started"</formula>
    </cfRule>
    <cfRule type="cellIs" dxfId="4" priority="3" operator="equal">
      <formula>"In Progress"</formula>
    </cfRule>
    <cfRule type="cellIs" dxfId="3" priority="4" operator="equal">
      <formula>"Done"</formula>
    </cfRule>
  </conditionalFormatting>
  <dataValidations count="1">
    <dataValidation type="list" allowBlank="1" sqref="E2:E247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4" style="1" customWidth="1"/>
    <col min="3" max="4" width="10" style="1" customWidth="1"/>
  </cols>
  <sheetData>
    <row r="1" spans="1:4" ht="17.25" customHeight="1" x14ac:dyDescent="0.25">
      <c r="A1" s="6" t="s">
        <v>537</v>
      </c>
    </row>
    <row r="3" spans="1:4" ht="15" customHeight="1" x14ac:dyDescent="0.25">
      <c r="A3" s="7" t="s">
        <v>538</v>
      </c>
      <c r="B3" s="8">
        <f>COUNTA(Tracker!A2:A247)</f>
        <v>246</v>
      </c>
    </row>
    <row r="4" spans="1:4" ht="15" customHeight="1" x14ac:dyDescent="0.25">
      <c r="A4" s="7" t="s">
        <v>12</v>
      </c>
      <c r="B4" s="8">
        <f>COUNTIF(Tracker!E2:E247,"Not Started")</f>
        <v>230</v>
      </c>
    </row>
    <row r="5" spans="1:4" ht="15" customHeight="1" x14ac:dyDescent="0.25">
      <c r="A5" s="7" t="s">
        <v>539</v>
      </c>
      <c r="B5" s="8">
        <f>COUNTIF(Tracker!E2:E247,"In Progress")</f>
        <v>16</v>
      </c>
    </row>
    <row r="6" spans="1:4" ht="15" customHeight="1" x14ac:dyDescent="0.25">
      <c r="A6" s="7" t="s">
        <v>540</v>
      </c>
      <c r="B6" s="8">
        <f>COUNTIF(Tracker!E2:E247,"Done")</f>
        <v>0</v>
      </c>
    </row>
    <row r="7" spans="1:4" ht="15" customHeight="1" x14ac:dyDescent="0.25">
      <c r="A7" s="7" t="s">
        <v>541</v>
      </c>
      <c r="B7" s="9">
        <f>B6/B3</f>
        <v>0</v>
      </c>
    </row>
    <row r="9" spans="1:4" ht="15" customHeight="1" x14ac:dyDescent="0.25">
      <c r="A9" s="10" t="s">
        <v>542</v>
      </c>
    </row>
    <row r="10" spans="1:4" ht="15" customHeight="1" x14ac:dyDescent="0.25">
      <c r="A10" s="11" t="s">
        <v>1</v>
      </c>
      <c r="B10" s="11" t="s">
        <v>543</v>
      </c>
      <c r="C10" s="11" t="s">
        <v>540</v>
      </c>
      <c r="D10" s="11" t="s">
        <v>544</v>
      </c>
    </row>
    <row r="11" spans="1:4" ht="15" customHeight="1" x14ac:dyDescent="0.25">
      <c r="A11" s="12" t="s">
        <v>9</v>
      </c>
      <c r="B11" s="12">
        <f>COUNTIF(Tracker!B2:B247,A11)</f>
        <v>24</v>
      </c>
      <c r="C11" s="12">
        <f>COUNTIFS(Tracker!B2:B247,A11,Tracker!E2:E247,"Done")</f>
        <v>0</v>
      </c>
      <c r="D11" s="13">
        <f t="shared" ref="D11:D49" si="0">IF(B11=0,0,C11/B11)</f>
        <v>0</v>
      </c>
    </row>
    <row r="12" spans="1:4" ht="15" customHeight="1" x14ac:dyDescent="0.25">
      <c r="A12" s="12" t="s">
        <v>59</v>
      </c>
      <c r="B12" s="12">
        <f>COUNTIF(Tracker!B2:B247,A12)</f>
        <v>7</v>
      </c>
      <c r="C12" s="12">
        <f>COUNTIFS(Tracker!B2:B247,A12,Tracker!E2:E247,"Done")</f>
        <v>0</v>
      </c>
      <c r="D12" s="13">
        <f t="shared" si="0"/>
        <v>0</v>
      </c>
    </row>
    <row r="13" spans="1:4" ht="15" customHeight="1" x14ac:dyDescent="0.25">
      <c r="A13" s="12" t="s">
        <v>74</v>
      </c>
      <c r="B13" s="12">
        <f>COUNTIF(Tracker!B2:B247,A13)</f>
        <v>6</v>
      </c>
      <c r="C13" s="12">
        <f>COUNTIFS(Tracker!B2:B247,A13,Tracker!E2:E247,"Done")</f>
        <v>0</v>
      </c>
      <c r="D13" s="13">
        <f t="shared" si="0"/>
        <v>0</v>
      </c>
    </row>
    <row r="14" spans="1:4" ht="15" customHeight="1" x14ac:dyDescent="0.25">
      <c r="A14" s="12" t="s">
        <v>87</v>
      </c>
      <c r="B14" s="12">
        <f>COUNTIF(Tracker!B2:B247,A14)</f>
        <v>4</v>
      </c>
      <c r="C14" s="12">
        <f>COUNTIFS(Tracker!B2:B247,A14,Tracker!E2:E247,"Done")</f>
        <v>0</v>
      </c>
      <c r="D14" s="13">
        <f t="shared" si="0"/>
        <v>0</v>
      </c>
    </row>
    <row r="15" spans="1:4" ht="15" customHeight="1" x14ac:dyDescent="0.25">
      <c r="A15" s="12" t="s">
        <v>96</v>
      </c>
      <c r="B15" s="12">
        <f>COUNTIF(Tracker!B2:B247,A15)</f>
        <v>8</v>
      </c>
      <c r="C15" s="12">
        <f>COUNTIFS(Tracker!B2:B247,A15,Tracker!E2:E247,"Done")</f>
        <v>0</v>
      </c>
      <c r="D15" s="13">
        <f t="shared" si="0"/>
        <v>0</v>
      </c>
    </row>
    <row r="16" spans="1:4" ht="15" customHeight="1" x14ac:dyDescent="0.25">
      <c r="A16" s="12" t="s">
        <v>113</v>
      </c>
      <c r="B16" s="12">
        <f>COUNTIF(Tracker!B2:B247,A16)</f>
        <v>8</v>
      </c>
      <c r="C16" s="12">
        <f>COUNTIFS(Tracker!B2:B247,A16,Tracker!E2:E247,"Done")</f>
        <v>0</v>
      </c>
      <c r="D16" s="13">
        <f t="shared" si="0"/>
        <v>0</v>
      </c>
    </row>
    <row r="17" spans="1:4" ht="15" customHeight="1" x14ac:dyDescent="0.25">
      <c r="A17" s="12" t="s">
        <v>130</v>
      </c>
      <c r="B17" s="12">
        <f>COUNTIF(Tracker!B2:B247,A17)</f>
        <v>4</v>
      </c>
      <c r="C17" s="12">
        <f>COUNTIFS(Tracker!B2:B247,A17,Tracker!E2:E247,"Done")</f>
        <v>0</v>
      </c>
      <c r="D17" s="13">
        <f t="shared" si="0"/>
        <v>0</v>
      </c>
    </row>
    <row r="18" spans="1:4" ht="15" customHeight="1" x14ac:dyDescent="0.25">
      <c r="A18" s="12" t="s">
        <v>139</v>
      </c>
      <c r="B18" s="12">
        <f>COUNTIF(Tracker!B2:B247,A18)</f>
        <v>4</v>
      </c>
      <c r="C18" s="12">
        <f>COUNTIFS(Tracker!B2:B247,A18,Tracker!E2:E247,"Done")</f>
        <v>0</v>
      </c>
      <c r="D18" s="13">
        <f t="shared" si="0"/>
        <v>0</v>
      </c>
    </row>
    <row r="19" spans="1:4" ht="15" customHeight="1" x14ac:dyDescent="0.25">
      <c r="A19" s="12" t="s">
        <v>148</v>
      </c>
      <c r="B19" s="12">
        <f>COUNTIF(Tracker!B2:B247,A19)</f>
        <v>3</v>
      </c>
      <c r="C19" s="12">
        <f>COUNTIFS(Tracker!B2:B247,A19,Tracker!E2:E247,"Done")</f>
        <v>0</v>
      </c>
      <c r="D19" s="13">
        <f t="shared" si="0"/>
        <v>0</v>
      </c>
    </row>
    <row r="20" spans="1:4" ht="15" customHeight="1" x14ac:dyDescent="0.25">
      <c r="A20" s="12" t="s">
        <v>155</v>
      </c>
      <c r="B20" s="12">
        <f>COUNTIF(Tracker!B2:B247,A20)</f>
        <v>7</v>
      </c>
      <c r="C20" s="12">
        <f>COUNTIFS(Tracker!B2:B247,A20,Tracker!E2:E247,"Done")</f>
        <v>0</v>
      </c>
      <c r="D20" s="13">
        <f t="shared" si="0"/>
        <v>0</v>
      </c>
    </row>
    <row r="21" spans="1:4" ht="15" customHeight="1" x14ac:dyDescent="0.25">
      <c r="A21" s="12" t="s">
        <v>170</v>
      </c>
      <c r="B21" s="12">
        <f>COUNTIF(Tracker!B2:B247,A21)</f>
        <v>5</v>
      </c>
      <c r="C21" s="12">
        <f>COUNTIFS(Tracker!B2:B247,A21,Tracker!E2:E247,"Done")</f>
        <v>0</v>
      </c>
      <c r="D21" s="13">
        <f t="shared" si="0"/>
        <v>0</v>
      </c>
    </row>
    <row r="22" spans="1:4" ht="15" customHeight="1" x14ac:dyDescent="0.25">
      <c r="A22" s="12" t="s">
        <v>181</v>
      </c>
      <c r="B22" s="12">
        <f>COUNTIF(Tracker!B2:B247,A22)</f>
        <v>6</v>
      </c>
      <c r="C22" s="12">
        <f>COUNTIFS(Tracker!B2:B247,A22,Tracker!E2:E247,"Done")</f>
        <v>0</v>
      </c>
      <c r="D22" s="13">
        <f t="shared" si="0"/>
        <v>0</v>
      </c>
    </row>
    <row r="23" spans="1:4" ht="15" customHeight="1" x14ac:dyDescent="0.25">
      <c r="A23" s="12" t="s">
        <v>194</v>
      </c>
      <c r="B23" s="12">
        <f>COUNTIF(Tracker!B2:B247,A23)</f>
        <v>5</v>
      </c>
      <c r="C23" s="12">
        <f>COUNTIFS(Tracker!B2:B247,A23,Tracker!E2:E247,"Done")</f>
        <v>0</v>
      </c>
      <c r="D23" s="13">
        <f t="shared" si="0"/>
        <v>0</v>
      </c>
    </row>
    <row r="24" spans="1:4" ht="15" customHeight="1" x14ac:dyDescent="0.25">
      <c r="A24" s="12" t="s">
        <v>205</v>
      </c>
      <c r="B24" s="12">
        <f>COUNTIF(Tracker!B2:B247,A24)</f>
        <v>2</v>
      </c>
      <c r="C24" s="12">
        <f>COUNTIFS(Tracker!B2:B247,A24,Tracker!E2:E247,"Done")</f>
        <v>0</v>
      </c>
      <c r="D24" s="13">
        <f t="shared" si="0"/>
        <v>0</v>
      </c>
    </row>
    <row r="25" spans="1:4" ht="15" customHeight="1" x14ac:dyDescent="0.25">
      <c r="A25" s="12" t="s">
        <v>210</v>
      </c>
      <c r="B25" s="12">
        <f>COUNTIF(Tracker!B2:B247,A25)</f>
        <v>2</v>
      </c>
      <c r="C25" s="12">
        <f>COUNTIFS(Tracker!B2:B247,A25,Tracker!E2:E247,"Done")</f>
        <v>0</v>
      </c>
      <c r="D25" s="13">
        <f t="shared" si="0"/>
        <v>0</v>
      </c>
    </row>
    <row r="26" spans="1:4" ht="15" customHeight="1" x14ac:dyDescent="0.25">
      <c r="A26" s="12" t="s">
        <v>215</v>
      </c>
      <c r="B26" s="12">
        <f>COUNTIF(Tracker!B2:B247,A26)</f>
        <v>8</v>
      </c>
      <c r="C26" s="12">
        <f>COUNTIFS(Tracker!B2:B247,A26,Tracker!E2:E247,"Done")</f>
        <v>0</v>
      </c>
      <c r="D26" s="13">
        <f t="shared" si="0"/>
        <v>0</v>
      </c>
    </row>
    <row r="27" spans="1:4" ht="15" customHeight="1" x14ac:dyDescent="0.25">
      <c r="A27" s="12" t="s">
        <v>232</v>
      </c>
      <c r="B27" s="12">
        <f>COUNTIF(Tracker!B2:B247,A27)</f>
        <v>8</v>
      </c>
      <c r="C27" s="12">
        <f>COUNTIFS(Tracker!B2:B247,A27,Tracker!E2:E247,"Done")</f>
        <v>0</v>
      </c>
      <c r="D27" s="13">
        <f t="shared" si="0"/>
        <v>0</v>
      </c>
    </row>
    <row r="28" spans="1:4" ht="15" customHeight="1" x14ac:dyDescent="0.25">
      <c r="A28" s="12" t="s">
        <v>249</v>
      </c>
      <c r="B28" s="12">
        <f>COUNTIF(Tracker!B2:B247,A28)</f>
        <v>5</v>
      </c>
      <c r="C28" s="12">
        <f>COUNTIFS(Tracker!B2:B247,A28,Tracker!E2:E247,"Done")</f>
        <v>0</v>
      </c>
      <c r="D28" s="13">
        <f t="shared" si="0"/>
        <v>0</v>
      </c>
    </row>
    <row r="29" spans="1:4" ht="15" customHeight="1" x14ac:dyDescent="0.25">
      <c r="A29" s="12" t="s">
        <v>260</v>
      </c>
      <c r="B29" s="12">
        <f>COUNTIF(Tracker!B2:B247,A29)</f>
        <v>6</v>
      </c>
      <c r="C29" s="12">
        <f>COUNTIFS(Tracker!B2:B247,A29,Tracker!E2:E247,"Done")</f>
        <v>0</v>
      </c>
      <c r="D29" s="13">
        <f t="shared" si="0"/>
        <v>0</v>
      </c>
    </row>
    <row r="30" spans="1:4" ht="15" customHeight="1" x14ac:dyDescent="0.25">
      <c r="A30" s="12" t="s">
        <v>273</v>
      </c>
      <c r="B30" s="12">
        <f>COUNTIF(Tracker!B2:B247,A30)</f>
        <v>3</v>
      </c>
      <c r="C30" s="12">
        <f>COUNTIFS(Tracker!B2:B247,A30,Tracker!E2:E247,"Done")</f>
        <v>0</v>
      </c>
      <c r="D30" s="13">
        <f t="shared" si="0"/>
        <v>0</v>
      </c>
    </row>
    <row r="31" spans="1:4" ht="15" customHeight="1" x14ac:dyDescent="0.25">
      <c r="A31" s="12" t="s">
        <v>280</v>
      </c>
      <c r="B31" s="12">
        <f>COUNTIF(Tracker!B2:B247,A31)</f>
        <v>6</v>
      </c>
      <c r="C31" s="12">
        <f>COUNTIFS(Tracker!B2:B247,A31,Tracker!E2:E247,"Done")</f>
        <v>0</v>
      </c>
      <c r="D31" s="13">
        <f t="shared" si="0"/>
        <v>0</v>
      </c>
    </row>
    <row r="32" spans="1:4" ht="15" customHeight="1" x14ac:dyDescent="0.25">
      <c r="A32" s="12" t="s">
        <v>293</v>
      </c>
      <c r="B32" s="12">
        <f>COUNTIF(Tracker!B2:B247,A32)</f>
        <v>8</v>
      </c>
      <c r="C32" s="12">
        <f>COUNTIFS(Tracker!B2:B247,A32,Tracker!E2:E247,"Done")</f>
        <v>0</v>
      </c>
      <c r="D32" s="13">
        <f t="shared" si="0"/>
        <v>0</v>
      </c>
    </row>
    <row r="33" spans="1:4" ht="15" customHeight="1" x14ac:dyDescent="0.25">
      <c r="A33" s="12" t="s">
        <v>310</v>
      </c>
      <c r="B33" s="12">
        <f>COUNTIF(Tracker!B2:B247,A33)</f>
        <v>3</v>
      </c>
      <c r="C33" s="12">
        <f>COUNTIFS(Tracker!B2:B247,A33,Tracker!E2:E247,"Done")</f>
        <v>0</v>
      </c>
      <c r="D33" s="13">
        <f t="shared" si="0"/>
        <v>0</v>
      </c>
    </row>
    <row r="34" spans="1:4" ht="15" customHeight="1" x14ac:dyDescent="0.25">
      <c r="A34" s="12" t="s">
        <v>317</v>
      </c>
      <c r="B34" s="12">
        <f>COUNTIF(Tracker!B2:B247,A34)</f>
        <v>6</v>
      </c>
      <c r="C34" s="12">
        <f>COUNTIFS(Tracker!B2:B247,A34,Tracker!E2:E247,"Done")</f>
        <v>0</v>
      </c>
      <c r="D34" s="13">
        <f t="shared" si="0"/>
        <v>0</v>
      </c>
    </row>
    <row r="35" spans="1:4" ht="15" customHeight="1" x14ac:dyDescent="0.25">
      <c r="A35" s="12" t="s">
        <v>329</v>
      </c>
      <c r="B35" s="12">
        <f>COUNTIF(Tracker!B2:B247,A35)</f>
        <v>8</v>
      </c>
      <c r="C35" s="12">
        <f>COUNTIFS(Tracker!B2:B247,A35,Tracker!E2:E247,"Done")</f>
        <v>0</v>
      </c>
      <c r="D35" s="13">
        <f t="shared" si="0"/>
        <v>0</v>
      </c>
    </row>
    <row r="36" spans="1:4" ht="15" customHeight="1" x14ac:dyDescent="0.25">
      <c r="A36" s="12" t="s">
        <v>346</v>
      </c>
      <c r="B36" s="12">
        <f>COUNTIF(Tracker!B2:B247,A36)</f>
        <v>4</v>
      </c>
      <c r="C36" s="12">
        <f>COUNTIFS(Tracker!B2:B247,A36,Tracker!E2:E247,"Done")</f>
        <v>0</v>
      </c>
      <c r="D36" s="13">
        <f t="shared" si="0"/>
        <v>0</v>
      </c>
    </row>
    <row r="37" spans="1:4" ht="15" customHeight="1" x14ac:dyDescent="0.25">
      <c r="A37" s="12" t="s">
        <v>355</v>
      </c>
      <c r="B37" s="12">
        <f>COUNTIF(Tracker!B2:B247,A37)</f>
        <v>10</v>
      </c>
      <c r="C37" s="12">
        <f>COUNTIFS(Tracker!B2:B247,A37,Tracker!E2:E247,"Done")</f>
        <v>0</v>
      </c>
      <c r="D37" s="13">
        <f t="shared" si="0"/>
        <v>0</v>
      </c>
    </row>
    <row r="38" spans="1:4" ht="15" customHeight="1" x14ac:dyDescent="0.25">
      <c r="A38" s="12" t="s">
        <v>375</v>
      </c>
      <c r="B38" s="12">
        <f>COUNTIF(Tracker!B2:B247,A38)</f>
        <v>4</v>
      </c>
      <c r="C38" s="12">
        <f>COUNTIFS(Tracker!B2:B247,A38,Tracker!E2:E247,"Done")</f>
        <v>0</v>
      </c>
      <c r="D38" s="13">
        <f t="shared" si="0"/>
        <v>0</v>
      </c>
    </row>
    <row r="39" spans="1:4" ht="15" customHeight="1" x14ac:dyDescent="0.25">
      <c r="A39" s="12" t="s">
        <v>384</v>
      </c>
      <c r="B39" s="12">
        <f>COUNTIF(Tracker!B2:B247,A39)</f>
        <v>4</v>
      </c>
      <c r="C39" s="12">
        <f>COUNTIFS(Tracker!B2:B247,A39,Tracker!E2:E247,"Done")</f>
        <v>0</v>
      </c>
      <c r="D39" s="13">
        <f t="shared" si="0"/>
        <v>0</v>
      </c>
    </row>
    <row r="40" spans="1:4" ht="15" customHeight="1" x14ac:dyDescent="0.25">
      <c r="A40" s="12" t="s">
        <v>393</v>
      </c>
      <c r="B40" s="12">
        <f>COUNTIF(Tracker!B2:B247,A40)</f>
        <v>3</v>
      </c>
      <c r="C40" s="12">
        <f>COUNTIFS(Tracker!B2:B247,A40,Tracker!E2:E247,"Done")</f>
        <v>0</v>
      </c>
      <c r="D40" s="13">
        <f t="shared" si="0"/>
        <v>0</v>
      </c>
    </row>
    <row r="41" spans="1:4" ht="15" customHeight="1" x14ac:dyDescent="0.25">
      <c r="A41" s="12" t="s">
        <v>400</v>
      </c>
      <c r="B41" s="12">
        <f>COUNTIF(Tracker!B2:B247,A41)</f>
        <v>5</v>
      </c>
      <c r="C41" s="12">
        <f>COUNTIFS(Tracker!B2:B247,A41,Tracker!E2:E247,"Done")</f>
        <v>0</v>
      </c>
      <c r="D41" s="13">
        <f t="shared" si="0"/>
        <v>0</v>
      </c>
    </row>
    <row r="42" spans="1:4" ht="15" customHeight="1" x14ac:dyDescent="0.25">
      <c r="A42" s="12" t="s">
        <v>411</v>
      </c>
      <c r="B42" s="12">
        <f>COUNTIF(Tracker!B2:B247,A42)</f>
        <v>7</v>
      </c>
      <c r="C42" s="12">
        <f>COUNTIFS(Tracker!B2:B247,A42,Tracker!E2:E247,"Done")</f>
        <v>0</v>
      </c>
      <c r="D42" s="13">
        <f t="shared" si="0"/>
        <v>0</v>
      </c>
    </row>
    <row r="43" spans="1:4" ht="15" customHeight="1" x14ac:dyDescent="0.25">
      <c r="A43" s="12" t="s">
        <v>426</v>
      </c>
      <c r="B43" s="12">
        <f>COUNTIF(Tracker!B2:B247,A43)</f>
        <v>8</v>
      </c>
      <c r="C43" s="12">
        <f>COUNTIFS(Tracker!B2:B247,A43,Tracker!E2:E247,"Done")</f>
        <v>0</v>
      </c>
      <c r="D43" s="13">
        <f t="shared" si="0"/>
        <v>0</v>
      </c>
    </row>
    <row r="44" spans="1:4" ht="15" customHeight="1" x14ac:dyDescent="0.25">
      <c r="A44" s="12" t="s">
        <v>442</v>
      </c>
      <c r="B44" s="12">
        <f>COUNTIF(Tracker!B2:B247,A44)</f>
        <v>7</v>
      </c>
      <c r="C44" s="12">
        <f>COUNTIFS(Tracker!B2:B247,A44,Tracker!E2:E247,"Done")</f>
        <v>0</v>
      </c>
      <c r="D44" s="13">
        <f t="shared" si="0"/>
        <v>0</v>
      </c>
    </row>
    <row r="45" spans="1:4" ht="15" customHeight="1" x14ac:dyDescent="0.25">
      <c r="A45" s="12" t="s">
        <v>457</v>
      </c>
      <c r="B45" s="12">
        <f>COUNTIF(Tracker!B2:B247,A45)</f>
        <v>7</v>
      </c>
      <c r="C45" s="12">
        <f>COUNTIFS(Tracker!B2:B247,A45,Tracker!E2:E247,"Done")</f>
        <v>0</v>
      </c>
      <c r="D45" s="13">
        <f t="shared" si="0"/>
        <v>0</v>
      </c>
    </row>
    <row r="46" spans="1:4" ht="15" customHeight="1" x14ac:dyDescent="0.25">
      <c r="A46" s="12" t="s">
        <v>472</v>
      </c>
      <c r="B46" s="12">
        <f>COUNTIF(Tracker!B2:B247,A46)</f>
        <v>6</v>
      </c>
      <c r="C46" s="12">
        <f>COUNTIFS(Tracker!B2:B247,A46,Tracker!E2:E247,"Done")</f>
        <v>0</v>
      </c>
      <c r="D46" s="13">
        <f t="shared" si="0"/>
        <v>0</v>
      </c>
    </row>
    <row r="47" spans="1:4" ht="15" customHeight="1" x14ac:dyDescent="0.25">
      <c r="A47" s="12" t="s">
        <v>485</v>
      </c>
      <c r="B47" s="12">
        <f>COUNTIF(Tracker!B2:B247,A47)</f>
        <v>8</v>
      </c>
      <c r="C47" s="12">
        <f>COUNTIFS(Tracker!B2:B247,A47,Tracker!E2:E247,"Done")</f>
        <v>0</v>
      </c>
      <c r="D47" s="13">
        <f t="shared" si="0"/>
        <v>0</v>
      </c>
    </row>
    <row r="48" spans="1:4" ht="15" customHeight="1" x14ac:dyDescent="0.25">
      <c r="A48" s="12" t="s">
        <v>502</v>
      </c>
      <c r="B48" s="12">
        <f>COUNTIF(Tracker!B2:B247,A48)</f>
        <v>10</v>
      </c>
      <c r="C48" s="12">
        <f>COUNTIFS(Tracker!B2:B247,A48,Tracker!E2:E247,"Done")</f>
        <v>0</v>
      </c>
      <c r="D48" s="13">
        <f t="shared" si="0"/>
        <v>0</v>
      </c>
    </row>
    <row r="49" spans="1:4" ht="15" customHeight="1" x14ac:dyDescent="0.25">
      <c r="A49" s="12" t="s">
        <v>522</v>
      </c>
      <c r="B49" s="12">
        <f>COUNTIF(Tracker!B2:B247,A49)</f>
        <v>7</v>
      </c>
      <c r="C49" s="12">
        <f>COUNTIFS(Tracker!B2:B247,A49,Tracker!E2:E247,"Done")</f>
        <v>0</v>
      </c>
      <c r="D49" s="13">
        <f t="shared" si="0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30" customWidth="1"/>
    <col min="3" max="4" width="50" customWidth="1"/>
    <col min="5" max="6" width="14" customWidth="1"/>
    <col min="7" max="7" width="28" customWidth="1"/>
  </cols>
  <sheetData>
    <row r="1" spans="1:7" x14ac:dyDescent="0.25">
      <c r="A1" s="2" t="s">
        <v>545</v>
      </c>
      <c r="B1" s="2" t="s">
        <v>546</v>
      </c>
      <c r="C1" s="2" t="s">
        <v>547</v>
      </c>
      <c r="D1" s="2" t="s">
        <v>548</v>
      </c>
      <c r="E1" s="2" t="s">
        <v>4</v>
      </c>
      <c r="F1" s="2" t="s">
        <v>549</v>
      </c>
      <c r="G1" s="2" t="s">
        <v>8</v>
      </c>
    </row>
    <row r="2" spans="1:7" ht="45" customHeight="1" x14ac:dyDescent="0.25">
      <c r="A2" s="3">
        <v>1</v>
      </c>
      <c r="B2" s="5" t="s">
        <v>550</v>
      </c>
      <c r="C2" s="5" t="s">
        <v>551</v>
      </c>
      <c r="D2" s="5" t="s">
        <v>552</v>
      </c>
      <c r="E2" s="3" t="s">
        <v>12</v>
      </c>
      <c r="F2" s="3"/>
      <c r="G2" s="5"/>
    </row>
    <row r="3" spans="1:7" ht="45" customHeight="1" x14ac:dyDescent="0.25">
      <c r="A3" s="3">
        <v>2</v>
      </c>
      <c r="B3" s="5" t="s">
        <v>550</v>
      </c>
      <c r="C3" s="5" t="s">
        <v>553</v>
      </c>
      <c r="D3" s="5" t="s">
        <v>554</v>
      </c>
      <c r="E3" s="3" t="s">
        <v>12</v>
      </c>
      <c r="F3" s="3"/>
      <c r="G3" s="5"/>
    </row>
    <row r="4" spans="1:7" ht="45" customHeight="1" x14ac:dyDescent="0.25">
      <c r="A4" s="3">
        <v>3</v>
      </c>
      <c r="B4" s="5" t="s">
        <v>550</v>
      </c>
      <c r="C4" s="5" t="s">
        <v>555</v>
      </c>
      <c r="D4" s="5" t="s">
        <v>556</v>
      </c>
      <c r="E4" s="3" t="s">
        <v>12</v>
      </c>
      <c r="F4" s="3"/>
      <c r="G4" s="5"/>
    </row>
    <row r="5" spans="1:7" ht="30" customHeight="1" x14ac:dyDescent="0.25">
      <c r="A5" s="14" t="s">
        <v>557</v>
      </c>
      <c r="B5" s="15" t="s">
        <v>558</v>
      </c>
      <c r="C5" s="15" t="s">
        <v>559</v>
      </c>
      <c r="D5" s="15" t="s">
        <v>560</v>
      </c>
      <c r="E5" s="14" t="s">
        <v>12</v>
      </c>
      <c r="F5" s="14"/>
      <c r="G5" s="15"/>
    </row>
    <row r="6" spans="1:7" ht="45" customHeight="1" x14ac:dyDescent="0.25">
      <c r="A6" s="3">
        <v>4</v>
      </c>
      <c r="B6" s="5" t="s">
        <v>561</v>
      </c>
      <c r="C6" s="5" t="s">
        <v>562</v>
      </c>
      <c r="D6" s="5" t="s">
        <v>563</v>
      </c>
      <c r="E6" s="3" t="s">
        <v>12</v>
      </c>
      <c r="F6" s="3"/>
      <c r="G6" s="5"/>
    </row>
    <row r="7" spans="1:7" ht="45" customHeight="1" x14ac:dyDescent="0.25">
      <c r="A7" s="3">
        <v>5</v>
      </c>
      <c r="B7" s="5" t="s">
        <v>561</v>
      </c>
      <c r="C7" s="5" t="s">
        <v>564</v>
      </c>
      <c r="D7" s="5" t="s">
        <v>565</v>
      </c>
      <c r="E7" s="3" t="s">
        <v>12</v>
      </c>
      <c r="F7" s="3"/>
      <c r="G7" s="5"/>
    </row>
    <row r="8" spans="1:7" ht="45" customHeight="1" x14ac:dyDescent="0.25">
      <c r="A8" s="3">
        <v>6</v>
      </c>
      <c r="B8" s="5" t="s">
        <v>561</v>
      </c>
      <c r="C8" s="5" t="s">
        <v>566</v>
      </c>
      <c r="D8" s="5" t="s">
        <v>567</v>
      </c>
      <c r="E8" s="3" t="s">
        <v>12</v>
      </c>
      <c r="F8" s="3"/>
      <c r="G8" s="5"/>
    </row>
    <row r="9" spans="1:7" ht="30" customHeight="1" x14ac:dyDescent="0.25">
      <c r="A9" s="14" t="s">
        <v>568</v>
      </c>
      <c r="B9" s="15" t="s">
        <v>569</v>
      </c>
      <c r="C9" s="15" t="s">
        <v>570</v>
      </c>
      <c r="D9" s="15" t="s">
        <v>560</v>
      </c>
      <c r="E9" s="14" t="s">
        <v>12</v>
      </c>
      <c r="F9" s="14"/>
      <c r="G9" s="15"/>
    </row>
    <row r="10" spans="1:7" ht="45" customHeight="1" x14ac:dyDescent="0.25">
      <c r="A10" s="3">
        <v>7</v>
      </c>
      <c r="B10" s="5" t="s">
        <v>571</v>
      </c>
      <c r="C10" s="5" t="s">
        <v>572</v>
      </c>
      <c r="D10" s="5" t="s">
        <v>573</v>
      </c>
      <c r="E10" s="3" t="s">
        <v>12</v>
      </c>
      <c r="F10" s="3"/>
      <c r="G10" s="5"/>
    </row>
    <row r="11" spans="1:7" ht="45" customHeight="1" x14ac:dyDescent="0.25">
      <c r="A11" s="3">
        <v>8</v>
      </c>
      <c r="B11" s="5" t="s">
        <v>571</v>
      </c>
      <c r="C11" s="5" t="s">
        <v>574</v>
      </c>
      <c r="D11" s="5" t="s">
        <v>575</v>
      </c>
      <c r="E11" s="3" t="s">
        <v>12</v>
      </c>
      <c r="F11" s="3"/>
      <c r="G11" s="5"/>
    </row>
    <row r="12" spans="1:7" ht="45" customHeight="1" x14ac:dyDescent="0.25">
      <c r="A12" s="3">
        <v>9</v>
      </c>
      <c r="B12" s="5" t="s">
        <v>571</v>
      </c>
      <c r="C12" s="5" t="s">
        <v>576</v>
      </c>
      <c r="D12" s="5" t="s">
        <v>577</v>
      </c>
      <c r="E12" s="3" t="s">
        <v>12</v>
      </c>
      <c r="F12" s="3"/>
      <c r="G12" s="5"/>
    </row>
    <row r="13" spans="1:7" ht="45" customHeight="1" x14ac:dyDescent="0.25">
      <c r="A13" s="3">
        <v>10</v>
      </c>
      <c r="B13" s="5" t="s">
        <v>571</v>
      </c>
      <c r="C13" s="5" t="s">
        <v>578</v>
      </c>
      <c r="D13" s="5" t="s">
        <v>579</v>
      </c>
      <c r="E13" s="3" t="s">
        <v>12</v>
      </c>
      <c r="F13" s="3"/>
      <c r="G13" s="5"/>
    </row>
    <row r="14" spans="1:7" ht="30" customHeight="1" x14ac:dyDescent="0.25">
      <c r="A14" s="14" t="s">
        <v>580</v>
      </c>
      <c r="B14" s="15" t="s">
        <v>581</v>
      </c>
      <c r="C14" s="15" t="s">
        <v>582</v>
      </c>
      <c r="D14" s="15" t="s">
        <v>560</v>
      </c>
      <c r="E14" s="14" t="s">
        <v>12</v>
      </c>
      <c r="F14" s="14"/>
      <c r="G14" s="15"/>
    </row>
    <row r="17" spans="1:2" ht="15.75" x14ac:dyDescent="0.25">
      <c r="A17" s="16" t="s">
        <v>583</v>
      </c>
    </row>
    <row r="18" spans="1:2" x14ac:dyDescent="0.25">
      <c r="A18" s="17" t="s">
        <v>584</v>
      </c>
      <c r="B18" s="17" t="s">
        <v>585</v>
      </c>
    </row>
    <row r="19" spans="1:2" x14ac:dyDescent="0.25">
      <c r="A19" s="17" t="s">
        <v>586</v>
      </c>
      <c r="B19" s="17" t="s">
        <v>585</v>
      </c>
    </row>
    <row r="20" spans="1:2" x14ac:dyDescent="0.25">
      <c r="A20" s="17" t="s">
        <v>587</v>
      </c>
      <c r="B20" s="17" t="s">
        <v>588</v>
      </c>
    </row>
    <row r="21" spans="1:2" x14ac:dyDescent="0.25">
      <c r="A21" s="17" t="s">
        <v>589</v>
      </c>
      <c r="B21" s="17" t="s">
        <v>590</v>
      </c>
    </row>
    <row r="22" spans="1:2" x14ac:dyDescent="0.25">
      <c r="A22" s="18" t="s">
        <v>591</v>
      </c>
      <c r="B22" s="18" t="s">
        <v>592</v>
      </c>
    </row>
    <row r="23" spans="1:2" x14ac:dyDescent="0.25">
      <c r="A23" s="19" t="s">
        <v>593</v>
      </c>
      <c r="B23" s="19" t="s">
        <v>594</v>
      </c>
    </row>
  </sheetData>
  <conditionalFormatting sqref="E2:E14">
    <cfRule type="cellIs" dxfId="2" priority="2" operator="equal">
      <formula>"Not Started"</formula>
    </cfRule>
    <cfRule type="cellIs" dxfId="1" priority="3" operator="equal">
      <formula>"In Progress"</formula>
    </cfRule>
    <cfRule type="cellIs" dxfId="0" priority="4" operator="equal">
      <formula>"Done"</formula>
    </cfRule>
  </conditionalFormatting>
  <dataValidations count="1">
    <dataValidation type="list" allowBlank="1" sqref="E2:E14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Summary</vt:lpstr>
      <vt:lpstr>Cert Study Plan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Legedia legend</cp:lastModifiedBy>
  <cp:revision>0</cp:revision>
  <dcterms:created xsi:type="dcterms:W3CDTF">2026-06-17T18:18:02Z</dcterms:created>
  <dcterms:modified xsi:type="dcterms:W3CDTF">2026-06-28T23:07:50Z</dcterms:modified>
  <dc:language>en-US</dc:language>
</cp:coreProperties>
</file>